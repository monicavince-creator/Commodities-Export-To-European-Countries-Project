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ONICA\OneDrive\Desktop\Power BI project\"/>
    </mc:Choice>
  </mc:AlternateContent>
  <xr:revisionPtr revIDLastSave="0" documentId="13_ncr:1_{0455C161-53AC-4A89-A662-5FA94EEA6720}" xr6:coauthVersionLast="47" xr6:coauthVersionMax="47" xr10:uidLastSave="{00000000-0000-0000-0000-000000000000}"/>
  <bookViews>
    <workbookView xWindow="-110" yWindow="-110" windowWidth="19420" windowHeight="10300" activeTab="3" xr2:uid="{421FF204-07D3-4487-A3E2-1A65B6EF6045}"/>
  </bookViews>
  <sheets>
    <sheet name="Cleaned Data" sheetId="3" r:id="rId1"/>
    <sheet name="Forecast Pivot Table" sheetId="5" r:id="rId2"/>
    <sheet name="Forecast Table" sheetId="4" r:id="rId3"/>
    <sheet name="Fact Table" sheetId="1" r:id="rId4"/>
  </sheet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D574C7-A4EB-45B7-992F-E41CCCA14254}" keepAlive="1" name="Query - Exports to European Countries_Sample_Data" description="Connection to the 'Exports to European Countries_Sample_Data' query in the workbook." type="5" refreshedVersion="0" background="1">
    <dbPr connection="Provider=Microsoft.Mashup.OleDb.1;Data Source=$Workbook$;Location=&quot;Exports to European Countries_Sample_Data&quot;;Extended Properties=&quot;&quot;" command="SELECT * FROM [Exports to European Countries_Sample_Data]"/>
  </connection>
  <connection id="2" xr16:uid="{96B513B0-F3FC-4C94-A4E1-2CF4E137788B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3" xr16:uid="{D7343483-640E-48A3-8715-976C26952B7A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  <connection id="4" xr16:uid="{274C49E1-455F-4607-A211-BB31D0F6C414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<sst xmlns="http://schemas.openxmlformats.org/spreadsheetml/2006/main" count="4130" uniqueCount="1022">
  <si>
    <t>GBR</t>
  </si>
  <si>
    <t>Pineapple</t>
  </si>
  <si>
    <t>Kgs</t>
  </si>
  <si>
    <t>NLD</t>
  </si>
  <si>
    <t>Pastels,Drawing Charcoals And Writing Or Drawing Chalks And Tailors Chalks</t>
  </si>
  <si>
    <t>Switzerland</t>
  </si>
  <si>
    <t>CHE</t>
  </si>
  <si>
    <t>Other Antihypertensive Drugs</t>
  </si>
  <si>
    <t>Hungary</t>
  </si>
  <si>
    <t>HUN</t>
  </si>
  <si>
    <t>Others</t>
  </si>
  <si>
    <t>Russian Federation</t>
  </si>
  <si>
    <t>RUS</t>
  </si>
  <si>
    <t>Cambodge Extract</t>
  </si>
  <si>
    <t>France</t>
  </si>
  <si>
    <t>FRA</t>
  </si>
  <si>
    <t>Polyester Sarees</t>
  </si>
  <si>
    <t>Sqm</t>
  </si>
  <si>
    <t>Portugal</t>
  </si>
  <si>
    <t>PRT</t>
  </si>
  <si>
    <t>Other Leather Hand Bags.</t>
  </si>
  <si>
    <t>Nos</t>
  </si>
  <si>
    <t>Italy</t>
  </si>
  <si>
    <t>ITA</t>
  </si>
  <si>
    <t>Vitamin E And Its Derivatives</t>
  </si>
  <si>
    <t>Serbia</t>
  </si>
  <si>
    <t>SRB</t>
  </si>
  <si>
    <t>Other Sesamum Seeds W/N Broken</t>
  </si>
  <si>
    <t>Carpets,Carpeting And Rugs</t>
  </si>
  <si>
    <t>Croatia</t>
  </si>
  <si>
    <t>HRV</t>
  </si>
  <si>
    <t>Belarus</t>
  </si>
  <si>
    <t>BLR</t>
  </si>
  <si>
    <t>Band Saw Blades</t>
  </si>
  <si>
    <t>Floor Coverings And Mats</t>
  </si>
  <si>
    <t>Lithuania</t>
  </si>
  <si>
    <t>LTU</t>
  </si>
  <si>
    <t>Klm, Schmcks, Krmne And Smlr Hndwvn</t>
  </si>
  <si>
    <t>Slovakia</t>
  </si>
  <si>
    <t>SVK</t>
  </si>
  <si>
    <t>Romania</t>
  </si>
  <si>
    <t>ROU</t>
  </si>
  <si>
    <t>Flexible Tubes Pipes And Hoses Having A Minimum Burst Pressure Of 27.6 Mpa</t>
  </si>
  <si>
    <t>Others Articles Of Aluminium N.E.S.</t>
  </si>
  <si>
    <t>Belgium</t>
  </si>
  <si>
    <t>BEL</t>
  </si>
  <si>
    <t>Magnesium Sulphate</t>
  </si>
  <si>
    <t>Other Parts Of Hdg 8418</t>
  </si>
  <si>
    <t>Finland</t>
  </si>
  <si>
    <t>FIN</t>
  </si>
  <si>
    <t>Jackets And Jerseys</t>
  </si>
  <si>
    <t>Poland</t>
  </si>
  <si>
    <t>POL</t>
  </si>
  <si>
    <t>Direct Write-On-Water Apparatus</t>
  </si>
  <si>
    <t>Saddles</t>
  </si>
  <si>
    <t>Germany</t>
  </si>
  <si>
    <t>DEU</t>
  </si>
  <si>
    <t>Trousers,Shorts Etc Of Wool/Fine Anml Hair</t>
  </si>
  <si>
    <t>Aerated Waters</t>
  </si>
  <si>
    <t>Ltr</t>
  </si>
  <si>
    <t>Spain</t>
  </si>
  <si>
    <t>ESP</t>
  </si>
  <si>
    <t>Sweden</t>
  </si>
  <si>
    <t>SWE</t>
  </si>
  <si>
    <t>Other Articles Of Zinc N.E.S.</t>
  </si>
  <si>
    <t>Malta</t>
  </si>
  <si>
    <t>MLT</t>
  </si>
  <si>
    <t>Parts Of The Items Of Hdg 8483</t>
  </si>
  <si>
    <t>Solvent Based Colouring Matters: Greens</t>
  </si>
  <si>
    <t>Caps And Closures For Bottles</t>
  </si>
  <si>
    <t>Ultramarin And Prptns Basd Thereon</t>
  </si>
  <si>
    <t>Other Frusemide Aminodial Domperidone</t>
  </si>
  <si>
    <t>Bedspreads,Knitted Or Crocheted</t>
  </si>
  <si>
    <t>Trousers,Bib And Brace Overalls,Breeches And Shorts Of Synthetic Fibres</t>
  </si>
  <si>
    <t>Bed Sheets And Bed Covers Of Cotton, Handloom</t>
  </si>
  <si>
    <t>Norway</t>
  </si>
  <si>
    <t>NOR</t>
  </si>
  <si>
    <t>Sapota (Chico)Fresh</t>
  </si>
  <si>
    <t>Denmark</t>
  </si>
  <si>
    <t>DNK</t>
  </si>
  <si>
    <t>House Coats And Like Dresses Of Cotton</t>
  </si>
  <si>
    <t>Hack Saw Blades,Machine Operated</t>
  </si>
  <si>
    <t>Spun Pipe</t>
  </si>
  <si>
    <t>Ukraine</t>
  </si>
  <si>
    <t>UKR</t>
  </si>
  <si>
    <t>Fish-Hooks,W/N Snelled</t>
  </si>
  <si>
    <t>Austria</t>
  </si>
  <si>
    <t>AUT</t>
  </si>
  <si>
    <t>Prs</t>
  </si>
  <si>
    <t>Candles</t>
  </si>
  <si>
    <t>Endless Trnsmsn Blt/Bltng Of V-Blt/Other Than V-Ribbed Of Circum Betwn 60 Cm And 180 Cm Where Ruby Compd More Than 25%</t>
  </si>
  <si>
    <t>Other Garments Of Man-Made Fibres</t>
  </si>
  <si>
    <t>Oleoresins Of Flowers</t>
  </si>
  <si>
    <t>Other Calcareous Stone</t>
  </si>
  <si>
    <t>Other Articles Of Apparel</t>
  </si>
  <si>
    <t>Other Basic Green (Non-Azo)</t>
  </si>
  <si>
    <t>Parts Of Artcls In Hdng 8516</t>
  </si>
  <si>
    <t>Boxes Of Corrugated Paper And Paper Board</t>
  </si>
  <si>
    <t>Papad</t>
  </si>
  <si>
    <t>Surgical Knives,Sciss0Rs And Blade</t>
  </si>
  <si>
    <t>Slovenia</t>
  </si>
  <si>
    <t>SVN</t>
  </si>
  <si>
    <t>Steatite( Soap Stone Etc) Lumps</t>
  </si>
  <si>
    <t>Leather Uppers(Prepared)</t>
  </si>
  <si>
    <t>Other Ethr-Phnls,Ethr Alchl-Phnls</t>
  </si>
  <si>
    <t>All Other Articles Of Iron/Steel Nes Other Steering Or Rudder Equipment For Ships And Boats, N.E.S.</t>
  </si>
  <si>
    <t>Others Including Finished Parts</t>
  </si>
  <si>
    <t>Flexible Intermediate Bulk Containers Of Man Made Textile Materials</t>
  </si>
  <si>
    <t>Safety/Relief Valves</t>
  </si>
  <si>
    <t>Other Armtc Plyamns And Thr Drvtvs And Slts</t>
  </si>
  <si>
    <t>Other Wall Clocks</t>
  </si>
  <si>
    <t>Sweaters And Cardigans Of Wool</t>
  </si>
  <si>
    <t>Other Fixed Capacitors</t>
  </si>
  <si>
    <t>Direct (Non Azo) Blacks</t>
  </si>
  <si>
    <t>Bengal Gram (Desi Chana)</t>
  </si>
  <si>
    <t>Orthopeaedic Or Fracture Appliances</t>
  </si>
  <si>
    <t>Other Appratus Of Heading 8536 Speed Incl Revrsng Strtrs At &lt;=60 Volts</t>
  </si>
  <si>
    <t>Trousers,Bib And Brace Etc Of Other Fibres</t>
  </si>
  <si>
    <t>Generating Sets With Diesel Engine Of An Output Excdng 2000Kva And Upto 5000 Kva</t>
  </si>
  <si>
    <t>7-Acetyl, 1,2,3,4,5,6,7,8-Octahydro, 1,1, 6,7- Tetra Methyl Naphthalene Octahvdronaohthalen-2-Vl ) Ethanone</t>
  </si>
  <si>
    <t>Instant Coffee Not Flavoured</t>
  </si>
  <si>
    <t>Coffee Rob Cherry C</t>
  </si>
  <si>
    <t>Other Pumps For Dispensing Fuel</t>
  </si>
  <si>
    <t>Others (Ecaussine Etc)</t>
  </si>
  <si>
    <t>Paclitaxel And Docetaxel</t>
  </si>
  <si>
    <t>Ireland</t>
  </si>
  <si>
    <t>IRL</t>
  </si>
  <si>
    <t>Other Screws; Bolts And Nuts :Threaded</t>
  </si>
  <si>
    <t>Anvils And Portable Forges</t>
  </si>
  <si>
    <t>Heat Shrinkable Components</t>
  </si>
  <si>
    <t>Estonia</t>
  </si>
  <si>
    <t>EST</t>
  </si>
  <si>
    <t>Textured Yarn Of Polyesters</t>
  </si>
  <si>
    <t>Gauges,Plug</t>
  </si>
  <si>
    <t>Greece</t>
  </si>
  <si>
    <t>GRC</t>
  </si>
  <si>
    <t>Other Tools For Boring/Broaching</t>
  </si>
  <si>
    <t>Dried, Unbleached</t>
  </si>
  <si>
    <t>Toilet Cases Of Leather</t>
  </si>
  <si>
    <t>Other Halogenated Derivatives Of Cyclanic, Cyclenic Or Cycloterpenic Hydrocarbons</t>
  </si>
  <si>
    <t>Toilet Linen And Kitchen Linen, Of Terry Towelling Or Similar Terry Fabrics, Of Cotton, Other Than Handloom</t>
  </si>
  <si>
    <t>Ribbons Of Rayon With Ornamental Edges</t>
  </si>
  <si>
    <t>Other Spices, Nes</t>
  </si>
  <si>
    <t>Grey</t>
  </si>
  <si>
    <t>Tanzanite</t>
  </si>
  <si>
    <t>Ctm</t>
  </si>
  <si>
    <t>Bosnia and Herzegovina</t>
  </si>
  <si>
    <t>BIH</t>
  </si>
  <si>
    <t>Mono Or Disodium Phosphate</t>
  </si>
  <si>
    <t>Rubber Contraceptives Male(Condoms)</t>
  </si>
  <si>
    <t>Other Fluoroquinolones</t>
  </si>
  <si>
    <t>Guava, Prepared Or Preserved</t>
  </si>
  <si>
    <t>Outer Garments,Mens And Boys Of Textile Fabrics,Otherwise Impregnated Or Coated</t>
  </si>
  <si>
    <t>Ball Bearings(Radial Type)Excl Adapter Bal Bearng(Radl Type)&gt;50Mm/2 Inches Bore Diameter But&lt;=100Mm Or 4 Inches Bore</t>
  </si>
  <si>
    <t>Other Table Linen Of Flax</t>
  </si>
  <si>
    <t>Andorra</t>
  </si>
  <si>
    <t>AND</t>
  </si>
  <si>
    <t>Dehydrated Green Pepper</t>
  </si>
  <si>
    <t>Sheets</t>
  </si>
  <si>
    <t>Parts For Aircraft Engines</t>
  </si>
  <si>
    <t>Parts Of Domestic Decorative Articles Used As Tableware And</t>
  </si>
  <si>
    <t>Food Colouring Yellow 4 (Tartrazine)</t>
  </si>
  <si>
    <t>Parts Of The Air Conditioning Machines Etc</t>
  </si>
  <si>
    <t>Valves,Inlet And Exhaust</t>
  </si>
  <si>
    <t>Bumpers Etc For Tractors</t>
  </si>
  <si>
    <t>Made Up Artcls Of Cotton</t>
  </si>
  <si>
    <t>Sulphanilic Acid(Para Aminobnzn Slphnc Acid Para Aniline Sulphonic Acid)</t>
  </si>
  <si>
    <t>Gear Boxes</t>
  </si>
  <si>
    <t>Plastic Insulated Winding Wire</t>
  </si>
  <si>
    <t>Mtr</t>
  </si>
  <si>
    <t>Tyres For Motorcycles</t>
  </si>
  <si>
    <t>Hand Bags/Shopping Bags Of Cotton</t>
  </si>
  <si>
    <t>Netherlands Antilles</t>
  </si>
  <si>
    <t>None</t>
  </si>
  <si>
    <t>Other Ink Nes</t>
  </si>
  <si>
    <t>Mathematical Calculating Instruments; Slide Rules,Disc Calculators And The Like</t>
  </si>
  <si>
    <t>Other Sugar Confectionery, Not Containing Cocoa</t>
  </si>
  <si>
    <t>Of Brass</t>
  </si>
  <si>
    <t>Other Unsaturated Monohydric Alcohols</t>
  </si>
  <si>
    <t>Sterng Wheels,Sterng Columns And Sterng Boxs</t>
  </si>
  <si>
    <t>North Macedonia</t>
  </si>
  <si>
    <t>MKD</t>
  </si>
  <si>
    <t>Other Tractors, Of An Engine Powerexceeding 18 Kw But Not Exceeding 37 Kw</t>
  </si>
  <si>
    <t>Component Parts For Diesel Engines For Motor Vehicles,N.E.S.</t>
  </si>
  <si>
    <t>Other Shaping Machines</t>
  </si>
  <si>
    <t>Mannitol</t>
  </si>
  <si>
    <t>Sacks And Bags Of Polyethylene (Incl Cones)</t>
  </si>
  <si>
    <t>Fire Clay Bricks And Shapes</t>
  </si>
  <si>
    <t>Ton</t>
  </si>
  <si>
    <t>Mechanical Seals</t>
  </si>
  <si>
    <t>Jewellery Of Gold Set With Diamond</t>
  </si>
  <si>
    <t>Flong Cartnsandcases Of Non-Crrgtd Paprandbrd</t>
  </si>
  <si>
    <t>Other Disperse Blue</t>
  </si>
  <si>
    <t>All Other Semi Manufactured Forms Of Slvr</t>
  </si>
  <si>
    <t>Inner Tubes Of Rubber Used On Bicycles</t>
  </si>
  <si>
    <t>Other Threaded Articles</t>
  </si>
  <si>
    <t>Cardiac Catheters</t>
  </si>
  <si>
    <t>Others Of Other Articles Of Forged Or Stamped But Not Further Worked</t>
  </si>
  <si>
    <t>Bulgaria</t>
  </si>
  <si>
    <t>BGR</t>
  </si>
  <si>
    <t>Plastic Insulated Conductors Used In Telecom For Voltage &lt;=1000V Fitted With Connectors</t>
  </si>
  <si>
    <t>Montenegro</t>
  </si>
  <si>
    <t>MNE</t>
  </si>
  <si>
    <t>Broken Rice</t>
  </si>
  <si>
    <t>Other Smlr Garments Of Man-Made Fbres</t>
  </si>
  <si>
    <t>Monolithic Integrated Circuits - Digital</t>
  </si>
  <si>
    <t>Polyurethanes</t>
  </si>
  <si>
    <t>Other Mustard Seeds W/N Broken</t>
  </si>
  <si>
    <t>Gloves,Mitters And Mitts Of Cotton</t>
  </si>
  <si>
    <t>Bedsheets And Bed Covers Of Cotton</t>
  </si>
  <si>
    <t>Luxembourg</t>
  </si>
  <si>
    <t>LUX</t>
  </si>
  <si>
    <t>Thermistors</t>
  </si>
  <si>
    <t>Other Dresses Incl Uniform Dress</t>
  </si>
  <si>
    <t>Glycerol</t>
  </si>
  <si>
    <t>Other Sports Equipments</t>
  </si>
  <si>
    <t>Screw Machine,Threaded</t>
  </si>
  <si>
    <t>Foot Ball</t>
  </si>
  <si>
    <t>Albania</t>
  </si>
  <si>
    <t>ALB</t>
  </si>
  <si>
    <t>Head Lamps,Tail Lamp,Stop Lamp, Side Lamp,Blinkers</t>
  </si>
  <si>
    <t>Caffeine And Its Salts</t>
  </si>
  <si>
    <t>Acid Greens(Azo)</t>
  </si>
  <si>
    <t>Coffee Arabica Plantation`B`</t>
  </si>
  <si>
    <t>Other Antibiotics</t>
  </si>
  <si>
    <t>Tyre Flaps Used In Other Vehicles</t>
  </si>
  <si>
    <t>Motor Cycles &gt;500 Bt &lt;=800 Cc</t>
  </si>
  <si>
    <t>Amoxycyllin In Capsules, Injections Etc.</t>
  </si>
  <si>
    <t>Synthetic Glue With Phenol Urea/Cresol( Wth(Wth Formaldehyde) As The Main Component</t>
  </si>
  <si>
    <t>Other Of Genus Pimenta</t>
  </si>
  <si>
    <t>Salbutamol, Terbutaline, Ephedrine, Salmeterol And Methyl Xanthimes</t>
  </si>
  <si>
    <t>Spices Husk/Spent, N.E.S.,</t>
  </si>
  <si>
    <t>Crpts Of Wool/Fine Anml Hair</t>
  </si>
  <si>
    <t>Copper Sulphate</t>
  </si>
  <si>
    <t>Water Pump</t>
  </si>
  <si>
    <t>Prpd Cultr Media Fr Micro-Orgnsms Dvlpmnt</t>
  </si>
  <si>
    <t>Inner Tubes For Off The Road Vehicle N.E. S.Or Included</t>
  </si>
  <si>
    <t>Others Non-Malleable Cast Iron</t>
  </si>
  <si>
    <t>Granite Crude Or Roughly Trimmed</t>
  </si>
  <si>
    <t>Lecithins</t>
  </si>
  <si>
    <t>Parts</t>
  </si>
  <si>
    <t>Laboratory Chemicals</t>
  </si>
  <si>
    <t>Battery Chargers</t>
  </si>
  <si>
    <t>Bed Stead</t>
  </si>
  <si>
    <t>Parts For Centrifugal Pumps</t>
  </si>
  <si>
    <t>Mango Juice</t>
  </si>
  <si>
    <t>Continuous Automatic Centrifuges</t>
  </si>
  <si>
    <t>Ciprofloxacine- In Capsul,Tblts Form Etc</t>
  </si>
  <si>
    <t>Pigment Violets</t>
  </si>
  <si>
    <t>Tyres Uses Other Than Motorcycles/ Scooters</t>
  </si>
  <si>
    <t>Papaws (Papayas) Fresh</t>
  </si>
  <si>
    <t>Vat Green 1(Indanthrene Brill Green Bffb)</t>
  </si>
  <si>
    <t>Electrode Quality Wire Of Stainless Steel</t>
  </si>
  <si>
    <t>Cumin Oleoresin</t>
  </si>
  <si>
    <t>Boneless Meat Of Bovine Animals , Frozen</t>
  </si>
  <si>
    <t>Other Similar Floating Instruments</t>
  </si>
  <si>
    <t>Other Leaf-Springs</t>
  </si>
  <si>
    <t>Finished Structure</t>
  </si>
  <si>
    <t>Durries Of Wool</t>
  </si>
  <si>
    <t>Other Inorganic Acids</t>
  </si>
  <si>
    <t>Ferro-Silico-Manganese</t>
  </si>
  <si>
    <t>Ash Cntng Prcs Mtl/Prcs Mtl Cmpnds</t>
  </si>
  <si>
    <t>Other (Other Preparations) Nes</t>
  </si>
  <si>
    <t>Other Surveying Levels</t>
  </si>
  <si>
    <t>Other Wooden Furniture Used In Bedroom</t>
  </si>
  <si>
    <t>Other Cmpnds Cntng Unfused Furanring (W/N)In Structure</t>
  </si>
  <si>
    <t>Dry</t>
  </si>
  <si>
    <t>Others-Non-Plasticized</t>
  </si>
  <si>
    <t>Sterile Laminaria And Laminaria Tents.And Strile Absrbble Surgcl/Dental Haemostatics</t>
  </si>
  <si>
    <t>Carpets</t>
  </si>
  <si>
    <t>Small Red Beans Dried And Shld</t>
  </si>
  <si>
    <t>Of A Kind Used On Agricultural Or Forestry Vehicles And Machines</t>
  </si>
  <si>
    <t>Acid Brown(Azo)</t>
  </si>
  <si>
    <t>Parts Of Machns Of Working Rbr/Plastic</t>
  </si>
  <si>
    <t>Phenobarbitone,Mephobarbitone,Primidone, Phenytoin,Carbamazpin,Ethosucimid, Valporicacid ,Diazepa,Lamotrigin,Gab</t>
  </si>
  <si>
    <t>Other Perfume And Toilet Waters</t>
  </si>
  <si>
    <t>Skirts Of Other Fibres</t>
  </si>
  <si>
    <t>Disposable Gloves</t>
  </si>
  <si>
    <t>Other Granite</t>
  </si>
  <si>
    <t>Psyllium Husk (Isobgul Husk)</t>
  </si>
  <si>
    <t>Manicure Or Pedicure Preparations</t>
  </si>
  <si>
    <t>Sublimed Sulphur</t>
  </si>
  <si>
    <t>Reactive Yellows</t>
  </si>
  <si>
    <t>Microtomes</t>
  </si>
  <si>
    <t>Other Cotton Fabrics,Unbleached Weighing More Than 200 Gm Per Sqm</t>
  </si>
  <si>
    <t>Motr Cyclwth Cylndr Cpcty &gt;75 Bt&lt;=250 Cc</t>
  </si>
  <si>
    <t>Of Bamboo</t>
  </si>
  <si>
    <t>Other Twine,Cordage,Rope And Cables</t>
  </si>
  <si>
    <t>Hydried (Other Than Lithium Alluminium Hydried)</t>
  </si>
  <si>
    <t>Other Inorganic Bases Metal Oxides Hydroxides And Peroxides</t>
  </si>
  <si>
    <t>Rock Salt</t>
  </si>
  <si>
    <t>Tourmaline</t>
  </si>
  <si>
    <t>Pigeon Peas (Cajanus Cajan)</t>
  </si>
  <si>
    <t>Czechia</t>
  </si>
  <si>
    <t>CZE</t>
  </si>
  <si>
    <t>Other Idodies And Oxyiodides</t>
  </si>
  <si>
    <t>Invlatable Rafts</t>
  </si>
  <si>
    <t>Other Stone Cut(Topaz Aquamarine Etc)</t>
  </si>
  <si>
    <t>Other Diazo-Azo-Or Azoxy-Compounds</t>
  </si>
  <si>
    <t>Crushed Or Ground; Other Fruits Of Genus Capsicum</t>
  </si>
  <si>
    <t>Other Glutamic Acid And Its Salts</t>
  </si>
  <si>
    <t>Cannulae</t>
  </si>
  <si>
    <t>Dresses Of Cotton</t>
  </si>
  <si>
    <t>Button Blanks</t>
  </si>
  <si>
    <t>Parts Of Articles In Hdg 8301</t>
  </si>
  <si>
    <t>Other Stater-Generators</t>
  </si>
  <si>
    <t>Meal Of Soyabean,Solvent Extracted (Defatted) Variety</t>
  </si>
  <si>
    <t>Staple Fibres Of Polyester Nt Crd/Cmbd</t>
  </si>
  <si>
    <t>Coffee Arabica Cherry Other Grade</t>
  </si>
  <si>
    <t>Disinfectants</t>
  </si>
  <si>
    <t>Wheat Or Meslin Flour</t>
  </si>
  <si>
    <t>Other Insecticide Nes</t>
  </si>
  <si>
    <t>Parts And Accessories Of Printing Machinery Used For Printing By Means Of Plates, Cylinders And Other Printing</t>
  </si>
  <si>
    <t>Suits Of Synthetic Fibres</t>
  </si>
  <si>
    <t>Ethyl Acetate</t>
  </si>
  <si>
    <t>Latvia</t>
  </si>
  <si>
    <t>LVA</t>
  </si>
  <si>
    <t>Patchouli Oil</t>
  </si>
  <si>
    <t>Other Garments Of Other Fibres</t>
  </si>
  <si>
    <t>Rayon Georgette</t>
  </si>
  <si>
    <t>Other Cardamom; Neither Crushed Nor Ground</t>
  </si>
  <si>
    <t>Tubes Or Pipe Fittings</t>
  </si>
  <si>
    <t>Corn Removers And Callous Removers</t>
  </si>
  <si>
    <t>Electro Magnetic Lifting Heads</t>
  </si>
  <si>
    <t>Carborundum</t>
  </si>
  <si>
    <t>Nightshirts And Pyjamas Of Cotton</t>
  </si>
  <si>
    <t>Sacks And Bags Of Cotton</t>
  </si>
  <si>
    <t>Parts Of Hdng 8518</t>
  </si>
  <si>
    <t>Tungsten Wire</t>
  </si>
  <si>
    <t>Articles Of Titanium</t>
  </si>
  <si>
    <t>Genarting Sets With Diesel Engines With An Output Excdng 375 Kva And Upto 1000 Kva</t>
  </si>
  <si>
    <t>Other Food Preparation Nes</t>
  </si>
  <si>
    <t>Other Sterols And Inositols</t>
  </si>
  <si>
    <t>Lutidine (Dimethyle Pyridine)</t>
  </si>
  <si>
    <t>Phenyl J Acid ( Phenyl -2 - Amino 8 Naphthol -7 -Sulphonic Acid )</t>
  </si>
  <si>
    <t>Jackets And Blazers Of Synthetic Fibres</t>
  </si>
  <si>
    <t>Articles Of Cermets</t>
  </si>
  <si>
    <t>Druggets</t>
  </si>
  <si>
    <t>Other Guards</t>
  </si>
  <si>
    <t>Amclos In Capsules Injections Etc.</t>
  </si>
  <si>
    <t>Parts For Reciprocating Pumps</t>
  </si>
  <si>
    <t>Parts Of Mechanical Appliances</t>
  </si>
  <si>
    <t>Other Jacks And Hoists,For Raising Vehicles</t>
  </si>
  <si>
    <t>Ciprofloxacin (Fluoroquinolones)</t>
  </si>
  <si>
    <t>Wallets And Purses Of Leather</t>
  </si>
  <si>
    <t>Label Badges Etc Of Man-Made Fibre Woven</t>
  </si>
  <si>
    <t>Manioc (Cassava)</t>
  </si>
  <si>
    <t>Other Vat Blue</t>
  </si>
  <si>
    <t>Fumbric Acid</t>
  </si>
  <si>
    <t>Reactive Blues</t>
  </si>
  <si>
    <t>Rice Parboiled</t>
  </si>
  <si>
    <t>Special Transactions N.E.S.</t>
  </si>
  <si>
    <t>Other Plates,Sheets,Strips</t>
  </si>
  <si>
    <t>Bords Etc For A Voltage&gt;1000 Vlts</t>
  </si>
  <si>
    <t>For Testing Hardness</t>
  </si>
  <si>
    <t>Articles For Christmas Festivities</t>
  </si>
  <si>
    <t>Pistons</t>
  </si>
  <si>
    <t>Other Jacks And Hoists,Hydraulic</t>
  </si>
  <si>
    <t>Prednisolone</t>
  </si>
  <si>
    <t>Nightdresses And Pyjamas Of Man-Made Fibres</t>
  </si>
  <si>
    <t>Mango Pulp</t>
  </si>
  <si>
    <t>Other Filmnt Wghng Betwn 70G/Sqm And 150G/Sqm</t>
  </si>
  <si>
    <t>Cellulose Adhesive Tape</t>
  </si>
  <si>
    <t xml:space="preserve">Date </t>
  </si>
  <si>
    <t xml:space="preserve">Country Name </t>
  </si>
  <si>
    <t xml:space="preserve">ISO Alpha 3 Code </t>
  </si>
  <si>
    <t xml:space="preserve">Country Code </t>
  </si>
  <si>
    <t>Sub-Region Code</t>
  </si>
  <si>
    <t xml:space="preserve">Harmonized System Code </t>
  </si>
  <si>
    <t>Netherlands</t>
  </si>
  <si>
    <t>Great Britain and Ireland</t>
  </si>
  <si>
    <t>HS Code</t>
  </si>
  <si>
    <t>Name (Commodity)</t>
  </si>
  <si>
    <t>Unit (Quantity)</t>
  </si>
  <si>
    <t>Value INR (Commodity)</t>
  </si>
  <si>
    <t>01-12-2024</t>
  </si>
  <si>
    <t>01-12-2021</t>
  </si>
  <si>
    <t>01-12-2020</t>
  </si>
  <si>
    <t>01-12-2019</t>
  </si>
  <si>
    <t>01-12-2018</t>
  </si>
  <si>
    <t>01-12-2017</t>
  </si>
  <si>
    <t>01-12-2016</t>
  </si>
  <si>
    <t>01-12-2015</t>
  </si>
  <si>
    <t>01-11-2024</t>
  </si>
  <si>
    <t>01-11-2021</t>
  </si>
  <si>
    <t>01-11-2020</t>
  </si>
  <si>
    <t>01-11-2019</t>
  </si>
  <si>
    <t>01-11-2018</t>
  </si>
  <si>
    <t>01-11-2017</t>
  </si>
  <si>
    <t>01-11-2016</t>
  </si>
  <si>
    <t>01-11-2015</t>
  </si>
  <si>
    <t>01-10-2024</t>
  </si>
  <si>
    <t>01-10-2021</t>
  </si>
  <si>
    <t>01-10-2020</t>
  </si>
  <si>
    <t>01-10-2019</t>
  </si>
  <si>
    <t>01-10-2018</t>
  </si>
  <si>
    <t>01-10-2017</t>
  </si>
  <si>
    <t>01-10-2016</t>
  </si>
  <si>
    <t>01-10-2015</t>
  </si>
  <si>
    <t>01-09-2024</t>
  </si>
  <si>
    <t>01-09-2021</t>
  </si>
  <si>
    <t>01-09-2020</t>
  </si>
  <si>
    <t>01-09-2019</t>
  </si>
  <si>
    <t>01-09-2018</t>
  </si>
  <si>
    <t>01-09-2017</t>
  </si>
  <si>
    <t>01-09-2016</t>
  </si>
  <si>
    <t>01-09-2015</t>
  </si>
  <si>
    <t>01-08-2024</t>
  </si>
  <si>
    <t>01-08-2021</t>
  </si>
  <si>
    <t>01-08-2020</t>
  </si>
  <si>
    <t>01-08-2019</t>
  </si>
  <si>
    <t>01-08-2018</t>
  </si>
  <si>
    <t>01-08-2017</t>
  </si>
  <si>
    <t>01-08-2016</t>
  </si>
  <si>
    <t>01-08-2015</t>
  </si>
  <si>
    <t>01-07-2025</t>
  </si>
  <si>
    <t>01-07-2024</t>
  </si>
  <si>
    <t>01-07-2021</t>
  </si>
  <si>
    <t>01-07-2020</t>
  </si>
  <si>
    <t>01-07-2019</t>
  </si>
  <si>
    <t>01-07-2018</t>
  </si>
  <si>
    <t>01-07-2017</t>
  </si>
  <si>
    <t>01-07-2016</t>
  </si>
  <si>
    <t>01-07-2015</t>
  </si>
  <si>
    <t>01-06-2025</t>
  </si>
  <si>
    <t>01-06-2024</t>
  </si>
  <si>
    <t>01-06-2021</t>
  </si>
  <si>
    <t>01-06-2020</t>
  </si>
  <si>
    <t>01-06-2019</t>
  </si>
  <si>
    <t>01-06-2018</t>
  </si>
  <si>
    <t>01-06-2017</t>
  </si>
  <si>
    <t>01-06-2016</t>
  </si>
  <si>
    <t>01-06-2015</t>
  </si>
  <si>
    <t>01-05-2025</t>
  </si>
  <si>
    <t>01-05-2024</t>
  </si>
  <si>
    <t>01-05-2021</t>
  </si>
  <si>
    <t>01-05-2020</t>
  </si>
  <si>
    <t>01-05-2019</t>
  </si>
  <si>
    <t>01-05-2018</t>
  </si>
  <si>
    <t>01-05-2017</t>
  </si>
  <si>
    <t>01-05-2016</t>
  </si>
  <si>
    <t>01-05-2015</t>
  </si>
  <si>
    <t>01-04-2025</t>
  </si>
  <si>
    <t>01-04-2024</t>
  </si>
  <si>
    <t>01-04-2021</t>
  </si>
  <si>
    <t>01-04-2020</t>
  </si>
  <si>
    <t>01-04-2019</t>
  </si>
  <si>
    <t>01-04-2018</t>
  </si>
  <si>
    <t>01-04-2017</t>
  </si>
  <si>
    <t>01-04-2016</t>
  </si>
  <si>
    <t>01-04-2015</t>
  </si>
  <si>
    <t>01-03-2025</t>
  </si>
  <si>
    <t>01-03-2021</t>
  </si>
  <si>
    <t>01-03-2020</t>
  </si>
  <si>
    <t>01-03-2019</t>
  </si>
  <si>
    <t>01-03-2018</t>
  </si>
  <si>
    <t>01-03-2017</t>
  </si>
  <si>
    <t>01-03-2016</t>
  </si>
  <si>
    <t>01-03-2015</t>
  </si>
  <si>
    <t>01-02-2025</t>
  </si>
  <si>
    <t>01-02-2021</t>
  </si>
  <si>
    <t>01-02-2020</t>
  </si>
  <si>
    <t>01-02-2019</t>
  </si>
  <si>
    <t>01-02-2018</t>
  </si>
  <si>
    <t>01-02-2017</t>
  </si>
  <si>
    <t>01-02-2016</t>
  </si>
  <si>
    <t>01-02-2015</t>
  </si>
  <si>
    <t>01-01-2025</t>
  </si>
  <si>
    <t>01-01-2021</t>
  </si>
  <si>
    <t>01-01-2020</t>
  </si>
  <si>
    <t>01-01-2019</t>
  </si>
  <si>
    <t>01-01-2018</t>
  </si>
  <si>
    <t>01-01-2017</t>
  </si>
  <si>
    <t>01-01-2016</t>
  </si>
  <si>
    <t>01-01-2015</t>
  </si>
  <si>
    <t>Region &amp; Sub-Region</t>
  </si>
  <si>
    <t>Europe,Western Europe</t>
  </si>
  <si>
    <t>Europe,Southern Europe</t>
  </si>
  <si>
    <t>Europe,Northern Europe</t>
  </si>
  <si>
    <t>Europe,Eastern Europe</t>
  </si>
  <si>
    <t>Unknown</t>
  </si>
  <si>
    <t>Hulled,Pearled,Slicd/Kibbld Other Cereals</t>
  </si>
  <si>
    <t>Other Wovn Fbrcs Of Other Veg Textl</t>
  </si>
  <si>
    <t>Other Articles Of Non-Malleable Cast Iron</t>
  </si>
  <si>
    <t>Other Ball Or Roller Bearings Incl Cmbind Ball/Rllr Bearngs</t>
  </si>
  <si>
    <t>Other Ftwr With Uppers Of Lthr/Cmpstn Lthr</t>
  </si>
  <si>
    <t>Other Conc Of Esnl Oils In Fats/Fixd/Wax Like Trpnc Byprdcts Of Deterpenation Of Esnl Oils Aqus Distlts/Soltn Esnl Ol</t>
  </si>
  <si>
    <t>Parts Of Other Food Processing Machinery</t>
  </si>
  <si>
    <t>Other Tools For Milling</t>
  </si>
  <si>
    <t>Other Brakes And Parts Thereof</t>
  </si>
  <si>
    <t>Other Articls Of Other Hygnc And Phrmctl Artcls</t>
  </si>
  <si>
    <t>Other Sleeping Bags</t>
  </si>
  <si>
    <t>Shawls,Scarves,Etc Of Other Txtl Fibres</t>
  </si>
  <si>
    <t>Other Window/Wall Types Self-Contained Air Conditioning Machines</t>
  </si>
  <si>
    <t>Other Screws And Bolts W/N Wth Nuts Or Washers Threaded</t>
  </si>
  <si>
    <t>Other Plts,Shts,Film Foil,Strip Etc Nes Flexible, Lacquered</t>
  </si>
  <si>
    <t>Other Drvtv Cntng Only Sulpho Group, Their Salts And Ethyl Esters</t>
  </si>
  <si>
    <t>Other Prdcts Of Iron/Non-Alloy Steel Otherwise Pltd/Cotd Wth Zinc</t>
  </si>
  <si>
    <t>Other Articls With Outer Surfce Of Lthr Of Composition Of Leather/Of Patent Leather</t>
  </si>
  <si>
    <t>Other Soap And Orgnc Surface Active Productfor Tiolet Use (Incl Medicated Prdcts)</t>
  </si>
  <si>
    <t>Peel Of Citrs Fruit/Melns(Incl Wtrmelns), Frsh,Frzn,Dried/Provsnly Prsvd In Brine, Insulphur Wtr Or In Other Prsvtv Soln</t>
  </si>
  <si>
    <t>Other Personal Protective Grmnts</t>
  </si>
  <si>
    <t>Parts And Accssrs Fr Hdg No.8462/8463</t>
  </si>
  <si>
    <t>Parts Of Other Electric Pwr Mchnry Of Hd8504Power Machinery Of Hdg 8504</t>
  </si>
  <si>
    <t>Other Parts And Accssrs Of Other Weaving Mchns</t>
  </si>
  <si>
    <t>Other Redio-Broadcst Rcvrs Nt Cpbl To Oprt Wtht Extrnl Powr,Usd In Motr Vhcls,Incl ApParts Fr Rcvng Radio-Tlphny/Radio-T</t>
  </si>
  <si>
    <t>Parts Of Industrial Fans,Blowers And The Like</t>
  </si>
  <si>
    <t>Pedals And Crank-Gear And Parts Thereof</t>
  </si>
  <si>
    <t>Parts Of Hydraulic Engines And Motors</t>
  </si>
  <si>
    <t>Parts Of Other Air/Vacum Pumps,Cmprssrs And Fans</t>
  </si>
  <si>
    <t>Clutches And Parts Thereof</t>
  </si>
  <si>
    <t>Table Linen Of Cotton,Hnd Kntd/Crocheted</t>
  </si>
  <si>
    <t>Other Builder Ware Of Plastics Of Polyurethne</t>
  </si>
  <si>
    <t>Inactive Yeast,Other Sngl-Cell Dead Micr-Org</t>
  </si>
  <si>
    <t>Cultures Of Micro-Organisms (Excl Yeast)</t>
  </si>
  <si>
    <t>Anti-Oxidants (Rubber)</t>
  </si>
  <si>
    <t>Others Than Hand Printed And Hand Embriodered</t>
  </si>
  <si>
    <t>Acrylic Resins</t>
  </si>
  <si>
    <t>Liquid Crystal Devices (L.C.D)</t>
  </si>
  <si>
    <t>Melon , Other Than Water Melon</t>
  </si>
  <si>
    <t>Other Lactams</t>
  </si>
  <si>
    <t>Trousers Bib And Brace Overalls Breeches And Shorts Of Cotton For Mens And Boys</t>
  </si>
  <si>
    <t>Overcoat,Capes,Cloaks,Anoraks Etc Of Cotton</t>
  </si>
  <si>
    <t>Value INR(Commodity)</t>
  </si>
  <si>
    <t>100% Polypropylene Carpet Mats With Jute, Rubber, Latex 0R P.U. Foam Baking</t>
  </si>
  <si>
    <t>Supported Catalysts Wth Nickel/Nickel Cmpnds</t>
  </si>
  <si>
    <t>Other Glassware Used For Tabel(Excluding Drinking Glass)/Kitchen Purposes(Excluding Glass Ceramics)</t>
  </si>
  <si>
    <t xml:space="preserve">Other Household And Laundry Soaps </t>
  </si>
  <si>
    <t>Quantity(No of Commodity)</t>
  </si>
  <si>
    <t>Revenue</t>
  </si>
  <si>
    <t>Value Type</t>
  </si>
  <si>
    <t>Revenue Type</t>
  </si>
  <si>
    <t>Crbys Bottles Flask And Similar Articels Of Plastics Insulated Ware</t>
  </si>
  <si>
    <t>Bright Bars Nickel Charm Astntc Type</t>
  </si>
  <si>
    <t>Parts oF Plants And Machinery For Chemicals,Pharmaceuticals Etc</t>
  </si>
  <si>
    <t xml:space="preserve">Safety Airbags With Inflater System; Parts </t>
  </si>
  <si>
    <t>Direction Finding Compasses</t>
  </si>
  <si>
    <t>Refractory Cements-Mortars-Concretes And Similar Composition Including Dolomite Rmming Mix</t>
  </si>
  <si>
    <t xml:space="preserve">Other Ink </t>
  </si>
  <si>
    <t>Pltes Etc Of Polymers Of Vinyl Chloride</t>
  </si>
  <si>
    <t>Thermostats For Other Machinery</t>
  </si>
  <si>
    <t>Cucumbers And Ghrkns Prpd/Prsvd By Acetic Acid</t>
  </si>
  <si>
    <t>Other Non Wired Sheets</t>
  </si>
  <si>
    <t>Other Mixters Of Odorifrs Substances N.E.S.</t>
  </si>
  <si>
    <t>Other Printed Woven Fabrics Wghng &gt;200 G/M2</t>
  </si>
  <si>
    <t>Parts And Accessories For Machines,Appliances,Instruments/Apparatus Of Chapter 90,Nes</t>
  </si>
  <si>
    <t xml:space="preserve">Trade Adevertising Materials Commercial Catalouge </t>
  </si>
  <si>
    <t>Scooters Wth Cylinder Capacity &gt;75 Bt&lt;=250 Cc</t>
  </si>
  <si>
    <t>Bright Bars-Nickel Chromium Austenitic Type</t>
  </si>
  <si>
    <t>Contrceptive Base On Other Prod.Of Hdng 2937</t>
  </si>
  <si>
    <t>Tools For Drilling Other Than Rock Drilling</t>
  </si>
  <si>
    <t>Other Parts Of Spark-Ignition Engines</t>
  </si>
  <si>
    <t>Other Steroidal Hormons Through Derevatives And Strict Angles</t>
  </si>
  <si>
    <t>Other Fats And Oils Derevated From Milk</t>
  </si>
  <si>
    <t>Other Parts Of Filtering/Purifying Machinery</t>
  </si>
  <si>
    <t>Windscarn Wipers,Defrosters And Demisters</t>
  </si>
  <si>
    <t>Long Pile Fabrics Of Other Textiles Materials</t>
  </si>
  <si>
    <t>Other Articles For Convence/Packing Of Goods</t>
  </si>
  <si>
    <t>Chucks,Mechanical/Pneumatic</t>
  </si>
  <si>
    <t>Coil Springs Of Iron Or Steel For Rlys/Trmys</t>
  </si>
  <si>
    <t>Plants,Sheets Strip Of Micro-Cellular Rubber</t>
  </si>
  <si>
    <t>Parts And Accessories For Hdg No.8462/8463</t>
  </si>
  <si>
    <t>Plates Sheets Of Polymers Of Propyln Nes</t>
  </si>
  <si>
    <t>Other Garments Of Man-Made Fibers For Mens/Boys</t>
  </si>
  <si>
    <t>Parts Of Other Rotating Electric Plants</t>
  </si>
  <si>
    <t>Other Component Parts Of Petrol Engines For Motor Vehicles</t>
  </si>
  <si>
    <t>Universal Plants Of Stainless Steel/Heat Rstngstl,Chromium Type&lt;14 But&gt;10 Mm</t>
  </si>
  <si>
    <t>Other Apparatus For Protecting Electrical Circuits</t>
  </si>
  <si>
    <t>Other Parts And Accessories Of Bodies(Incl Cabs)</t>
  </si>
  <si>
    <t>Fabric Of Polster,Mixed With Man-Made Filament , Other</t>
  </si>
  <si>
    <t>Mixed, Condiments And Mixed Seasoning</t>
  </si>
  <si>
    <t>Other Optical Instrments And Appliances</t>
  </si>
  <si>
    <t>Plates Sheets Etc Of Plyethyln Terephthalte Rigid, Plain</t>
  </si>
  <si>
    <t>Plates Sheets Etc Of Polyethyln Terephthalte Rigid, Plain</t>
  </si>
  <si>
    <t>Wire Of Stainls Steel Thicker Than 1.5 Mm</t>
  </si>
  <si>
    <t>Other Aluminium Foil Rolled</t>
  </si>
  <si>
    <t>Grindng Wheels Of Synthetc Abrasive Grains</t>
  </si>
  <si>
    <t>Cripts And Floor Carvings Knotted Other Than Cotton</t>
  </si>
  <si>
    <t>Hinges Of  Steel</t>
  </si>
  <si>
    <t>Machenery And Apparatus For Filttering And Purifying Bags</t>
  </si>
  <si>
    <t>Other Pneumtic Rtry Tp Tools For Working In Hand</t>
  </si>
  <si>
    <t>Parts Of Other Steam And Vapour Generating Boilers</t>
  </si>
  <si>
    <t>Trsrs,Slacks And Shorts Of Wool/Fine Animal Hair</t>
  </si>
  <si>
    <t>Other Imides And Through Drvtvs Slts</t>
  </si>
  <si>
    <t>Skirts And Divided Skirts Of Wool/Fine Animal Hair</t>
  </si>
  <si>
    <t>Made Up Articals Of Cotton</t>
  </si>
  <si>
    <t>Other Musing and checking Instruments,Appliances and machines</t>
  </si>
  <si>
    <t>Eelctric Resistance Wire Bare Other Than Nichrome</t>
  </si>
  <si>
    <t>Other Bread,Pastry,Rice Paper And Similar Products</t>
  </si>
  <si>
    <t>Other Transman Shift(Incl Cam And Crnk Shft)</t>
  </si>
  <si>
    <t>Hand-Oprted Wrenchs(Excld Tap Wrenchs) Non-Adjustable</t>
  </si>
  <si>
    <t>Motor Cycles Wth Cylinder Capacity &gt;250 Bt&lt;=500Cc</t>
  </si>
  <si>
    <t>Other Electrical Insulters Of Other Material</t>
  </si>
  <si>
    <t>Agricultural Or Hoticultural Machincal Appliances</t>
  </si>
  <si>
    <t>Tube Pipe and Hoses Of Other Plastics Rigid Nes</t>
  </si>
  <si>
    <t>Other Footwear With All Leather,Open Toe</t>
  </si>
  <si>
    <t>Jersey Etc Of Other Textile Materials</t>
  </si>
  <si>
    <t>Other Dyed Woven Fabrics Weighing &lt;=200 G/M2</t>
  </si>
  <si>
    <t>Ankle Curved All Lether Shoes For Children</t>
  </si>
  <si>
    <t xml:space="preserve">Laboratory Hyginic/Pharmacticals Glassware Of Other Glass </t>
  </si>
  <si>
    <t>Electrical Resistance Wire,Insulated Excluding Nichrm</t>
  </si>
  <si>
    <t xml:space="preserve">Erthromycin And Its Derivatives Slits </t>
  </si>
  <si>
    <t>Other Coconuts Excluding Fresh And Dried And Desiccated And Endocarp</t>
  </si>
  <si>
    <t>Slips, Peticoats Of Other Textile Material</t>
  </si>
  <si>
    <t>Chucks,Machnical/Pneumatic</t>
  </si>
  <si>
    <t>Sewing Thread Of Synthatic Staple Fibres</t>
  </si>
  <si>
    <t>Cotton Garments Other Than Kurta And Salwar Wth Without Duppatta</t>
  </si>
  <si>
    <t>Cucumbers And Gharkins Prepared/Preserved By Acetic Acid</t>
  </si>
  <si>
    <t>Parts Of Other Macinery Of Hd 8426,8429,8430</t>
  </si>
  <si>
    <t>Sorting, Scring,Separating,Washing Machines Of Other Mineral Substances</t>
  </si>
  <si>
    <t>Buckets,Shovels Grabs And Grips Of The Macinery Of Hd 8426,8429/8430</t>
  </si>
  <si>
    <t>Oil/Prtl-Fltrs Fr Intrrnal Combestin Engines</t>
  </si>
  <si>
    <t>Knit Shirts (Except T-Shirts) And Sweat Shirts,Other Than Hand Crocheted Of Cotton</t>
  </si>
  <si>
    <t>Sheets Of Fleet Rld Products In Coils Nt Frthrwrkd Thn Cold Rld Of Thckns &gt;=3Mm</t>
  </si>
  <si>
    <t>Leather Sandals With Plastic/Synthetic Sole</t>
  </si>
  <si>
    <t>Other Unglazed Vitrified Tiles, Pulshed Or Not</t>
  </si>
  <si>
    <t>Hydrogen Prpld Vhechles(E.G.Hnd-Crts,Rckshws Etc)</t>
  </si>
  <si>
    <t>Cotton Grmnts Other Than Kurta And Salwar Wth Without Duppatta</t>
  </si>
  <si>
    <t>Tubes,Pipes And Hoses Of Vulcnsd Rubber Not Reinforced/Otherwise Combined Wth Other Materials Without Fittings</t>
  </si>
  <si>
    <t>Other Unbleeched Woven Fabrics Weighing &gt;200 G/M2</t>
  </si>
  <si>
    <t>Refind Ground Nut Oil Of Edible Grade</t>
  </si>
  <si>
    <t>Other Hydrogen Castor Oil(Opl Wax)</t>
  </si>
  <si>
    <t>Nightshirts And Pyjamas Of Other Fibers</t>
  </si>
  <si>
    <t>Other Parts Of Telephonc/Telegraphc Apparts</t>
  </si>
  <si>
    <t>Threaded Elbows,Bands And Sleves Of Stainless Steel</t>
  </si>
  <si>
    <t>Ankle Curvered All Lether Shoes For Men</t>
  </si>
  <si>
    <t>Jams Jellies Mrmlds Etc. Of Mangoes</t>
  </si>
  <si>
    <t>1 Nos</t>
  </si>
  <si>
    <t>1472 Kgs</t>
  </si>
  <si>
    <t>148118 Nos</t>
  </si>
  <si>
    <t>914 Kgs</t>
  </si>
  <si>
    <t>1757 Nos</t>
  </si>
  <si>
    <t>36749 Kgs</t>
  </si>
  <si>
    <t>1 Kgs</t>
  </si>
  <si>
    <t>24099 Kgs</t>
  </si>
  <si>
    <t>371 Kgs</t>
  </si>
  <si>
    <t>17558 Kgs</t>
  </si>
  <si>
    <t>3.15 Kgs</t>
  </si>
  <si>
    <t>13.5 Kgs</t>
  </si>
  <si>
    <t>1.4 Nos</t>
  </si>
  <si>
    <t>0.33 Kgs</t>
  </si>
  <si>
    <t>25 Kgs</t>
  </si>
  <si>
    <t>11.39 Sqm</t>
  </si>
  <si>
    <t>0.15 Kgs</t>
  </si>
  <si>
    <t>15.4 Kgs</t>
  </si>
  <si>
    <t>0 Kgs</t>
  </si>
  <si>
    <t>27.64 Kgs</t>
  </si>
  <si>
    <t>33.9 Nos</t>
  </si>
  <si>
    <t>0.1 Kgs</t>
  </si>
  <si>
    <t>0 Sqm</t>
  </si>
  <si>
    <t>28 Kgs</t>
  </si>
  <si>
    <t>7.24 Kgs</t>
  </si>
  <si>
    <t>0.28 Kgs</t>
  </si>
  <si>
    <t>193.2 Nos</t>
  </si>
  <si>
    <t>40 Kgs</t>
  </si>
  <si>
    <t>1.25 Sqm</t>
  </si>
  <si>
    <t>0.2 Sqm</t>
  </si>
  <si>
    <t>17.11 Nos</t>
  </si>
  <si>
    <t>38 Kgs</t>
  </si>
  <si>
    <t>128 Sqm</t>
  </si>
  <si>
    <t>419 Nos</t>
  </si>
  <si>
    <t>48 Nos</t>
  </si>
  <si>
    <t>456 Kgs</t>
  </si>
  <si>
    <t>72 Kgs</t>
  </si>
  <si>
    <t>50332 Kgs</t>
  </si>
  <si>
    <t>2 Nos</t>
  </si>
  <si>
    <t>3000 Kgs</t>
  </si>
  <si>
    <t>0.03 Kgs</t>
  </si>
  <si>
    <t>0.09 Kgs</t>
  </si>
  <si>
    <t>0.62 Nos</t>
  </si>
  <si>
    <t>1.35 Nos</t>
  </si>
  <si>
    <t>0.1 Nos</t>
  </si>
  <si>
    <t>43.85 Kgs</t>
  </si>
  <si>
    <t>0.04 Kgs</t>
  </si>
  <si>
    <t>9.1 Kgs</t>
  </si>
  <si>
    <t>50.23 Nos</t>
  </si>
  <si>
    <t>21.23 Kgs</t>
  </si>
  <si>
    <t>0.16 Kgs</t>
  </si>
  <si>
    <t>0.03 Nos</t>
  </si>
  <si>
    <t>43.4 Kgs</t>
  </si>
  <si>
    <t>14 Kgs</t>
  </si>
  <si>
    <t>0.14 Kgs</t>
  </si>
  <si>
    <t>0 Nos</t>
  </si>
  <si>
    <t>0.85 Kgs</t>
  </si>
  <si>
    <t>78.88 Kgs</t>
  </si>
  <si>
    <t>0.02 Kgs</t>
  </si>
  <si>
    <t>41.49 Kgs</t>
  </si>
  <si>
    <t>0.02 Ton</t>
  </si>
  <si>
    <t>14.04 Kgs</t>
  </si>
  <si>
    <t>0.5 Nos</t>
  </si>
  <si>
    <t>17.15 Kgs</t>
  </si>
  <si>
    <t>0.06 Kgs</t>
  </si>
  <si>
    <t>0.3 Kgs</t>
  </si>
  <si>
    <t>8.33 Kgs</t>
  </si>
  <si>
    <t>3.5 Kgs</t>
  </si>
  <si>
    <t>1.92 Kgs</t>
  </si>
  <si>
    <t>2.95 Kgs</t>
  </si>
  <si>
    <t>13.88 Nos</t>
  </si>
  <si>
    <t>2494 Kgs</t>
  </si>
  <si>
    <t>527 Kgs</t>
  </si>
  <si>
    <t>2500 Kgs</t>
  </si>
  <si>
    <t>0.08 Kgs</t>
  </si>
  <si>
    <t>2.98 Kgs</t>
  </si>
  <si>
    <t>3.77 Nos</t>
  </si>
  <si>
    <t>42.45 Kgs</t>
  </si>
  <si>
    <t>2.4 Kgs</t>
  </si>
  <si>
    <t>12.15 Kgs</t>
  </si>
  <si>
    <t>6.43 Nos</t>
  </si>
  <si>
    <t>1.2 Kgs</t>
  </si>
  <si>
    <t>17.88 Kgs</t>
  </si>
  <si>
    <t>6.47 Kgs</t>
  </si>
  <si>
    <t>0.23 Kgs</t>
  </si>
  <si>
    <t>13.22 Kgs</t>
  </si>
  <si>
    <t>989.48 Kgs</t>
  </si>
  <si>
    <t>10 Kgs</t>
  </si>
  <si>
    <t>20 Kgs</t>
  </si>
  <si>
    <t>15 Kgs</t>
  </si>
  <si>
    <t>1.54 Kgs</t>
  </si>
  <si>
    <t>35.1 Nos</t>
  </si>
  <si>
    <t>19.99 Nos</t>
  </si>
  <si>
    <t>0.01 Kgs</t>
  </si>
  <si>
    <t>30.25 Kgs</t>
  </si>
  <si>
    <t>0.01 Nos</t>
  </si>
  <si>
    <t>0.38 Kgs</t>
  </si>
  <si>
    <t>10.75 Kgs</t>
  </si>
  <si>
    <t>5.53 Kgs</t>
  </si>
  <si>
    <t>0.21 Kgs</t>
  </si>
  <si>
    <t>0.02 Nos</t>
  </si>
  <si>
    <t>0.04 Nos</t>
  </si>
  <si>
    <t>60 Kgs</t>
  </si>
  <si>
    <t>103.6 Kgs</t>
  </si>
  <si>
    <t>1.77 Nos</t>
  </si>
  <si>
    <t>123 Kgs</t>
  </si>
  <si>
    <t>664.78 Kgs</t>
  </si>
  <si>
    <t>35.5 Sqm</t>
  </si>
  <si>
    <t>0.2 Nos</t>
  </si>
  <si>
    <t>38.4 Kgs</t>
  </si>
  <si>
    <t>350.72 Kgs</t>
  </si>
  <si>
    <t>173 Kgs</t>
  </si>
  <si>
    <t>2385 Kgs</t>
  </si>
  <si>
    <t>148457 Kgs</t>
  </si>
  <si>
    <t>31 Kgs</t>
  </si>
  <si>
    <t>7134 Ltr</t>
  </si>
  <si>
    <t>3.14 Kgs</t>
  </si>
  <si>
    <t>801.36 Kgs</t>
  </si>
  <si>
    <t>0.05 Kgs</t>
  </si>
  <si>
    <t>1.45 Kgs</t>
  </si>
  <si>
    <t>7.01 Kgs</t>
  </si>
  <si>
    <t>81.57 Kgs</t>
  </si>
  <si>
    <t xml:space="preserve"> Kgs</t>
  </si>
  <si>
    <t>14.78 Kgs</t>
  </si>
  <si>
    <t>0.4 Sqm</t>
  </si>
  <si>
    <t>1.23 Kgs</t>
  </si>
  <si>
    <t>16.6 Kgs</t>
  </si>
  <si>
    <t>1.95 Nos</t>
  </si>
  <si>
    <t>71 Kgs</t>
  </si>
  <si>
    <t>4.58 Sqm</t>
  </si>
  <si>
    <t>0.18 Kgs</t>
  </si>
  <si>
    <t>1.46 Nos</t>
  </si>
  <si>
    <t>6.6 Kgs</t>
  </si>
  <si>
    <t>15.11 Kgs</t>
  </si>
  <si>
    <t>0.2 Kgs</t>
  </si>
  <si>
    <t>138.74 Kgs</t>
  </si>
  <si>
    <t>1.03 Nos</t>
  </si>
  <si>
    <t>10.3 Kgs</t>
  </si>
  <si>
    <t>50 Kgs</t>
  </si>
  <si>
    <t>1.95 Kgs</t>
  </si>
  <si>
    <t>3827 Kgs</t>
  </si>
  <si>
    <t>3 Nos</t>
  </si>
  <si>
    <t>510 Kgs</t>
  </si>
  <si>
    <t>672 Nos</t>
  </si>
  <si>
    <t>32720 Kgs</t>
  </si>
  <si>
    <t>85 Nos</t>
  </si>
  <si>
    <t>4 Nos</t>
  </si>
  <si>
    <t>179 Kgs</t>
  </si>
  <si>
    <t>76 Kgs</t>
  </si>
  <si>
    <t>3.82 Nos</t>
  </si>
  <si>
    <t>32.12 Kgs</t>
  </si>
  <si>
    <t>2.72 Nos</t>
  </si>
  <si>
    <t>0.22 Nos</t>
  </si>
  <si>
    <t>0.7 Nos</t>
  </si>
  <si>
    <t>2.34 Kgs</t>
  </si>
  <si>
    <t>265.82 Kgs</t>
  </si>
  <si>
    <t>0.6 Nos</t>
  </si>
  <si>
    <t>0.71 Kgs</t>
  </si>
  <si>
    <t>3.53 Sqm</t>
  </si>
  <si>
    <t>0.64 Nos</t>
  </si>
  <si>
    <t>0.8 Kgs</t>
  </si>
  <si>
    <t>483.77 Nos</t>
  </si>
  <si>
    <t>22.69 Kgs</t>
  </si>
  <si>
    <t>6.43 Prs</t>
  </si>
  <si>
    <t>0.67 Nos</t>
  </si>
  <si>
    <t>146.5 Kgs</t>
  </si>
  <si>
    <t>37084 Kgs</t>
  </si>
  <si>
    <t>116 Kgs</t>
  </si>
  <si>
    <t>17 Nos</t>
  </si>
  <si>
    <t>3710 Kgs</t>
  </si>
  <si>
    <t>4273 Kgs</t>
  </si>
  <si>
    <t>42 Kgs</t>
  </si>
  <si>
    <t>18094 Kgs</t>
  </si>
  <si>
    <t>892 Kgs</t>
  </si>
  <si>
    <t>35.81 Nos</t>
  </si>
  <si>
    <t>61.05 Nos</t>
  </si>
  <si>
    <t>26.45 Kgs</t>
  </si>
  <si>
    <t>0.98 Kgs</t>
  </si>
  <si>
    <t>0.12 Kgs</t>
  </si>
  <si>
    <t>0.61 Sqm</t>
  </si>
  <si>
    <t>60.02 Nos</t>
  </si>
  <si>
    <t>144.03 Kgs</t>
  </si>
  <si>
    <t>0.92 Kgs</t>
  </si>
  <si>
    <t>257.69 Kgs</t>
  </si>
  <si>
    <t>39.35 Kgs</t>
  </si>
  <si>
    <t>53.18 Kgs</t>
  </si>
  <si>
    <t>0.6 Kgs</t>
  </si>
  <si>
    <t>144.14 Kgs</t>
  </si>
  <si>
    <t>14.89 Nos</t>
  </si>
  <si>
    <t>30.51 Kgs</t>
  </si>
  <si>
    <t>1.59 Nos</t>
  </si>
  <si>
    <t>11715 Kgs</t>
  </si>
  <si>
    <t>220 Nos</t>
  </si>
  <si>
    <t>800 Nos</t>
  </si>
  <si>
    <t>2000 Kgs</t>
  </si>
  <si>
    <t>130 Nos</t>
  </si>
  <si>
    <t>314 Nos</t>
  </si>
  <si>
    <t>268 Kgs</t>
  </si>
  <si>
    <t>11 Nos</t>
  </si>
  <si>
    <t>567 Kgs</t>
  </si>
  <si>
    <t>3630 Kgs</t>
  </si>
  <si>
    <t>7800 Kgs</t>
  </si>
  <si>
    <t>0.67 Kgs</t>
  </si>
  <si>
    <t>185.2 Nos</t>
  </si>
  <si>
    <t xml:space="preserve"> Sqm</t>
  </si>
  <si>
    <t>22 Nos</t>
  </si>
  <si>
    <t>0.79 Kgs</t>
  </si>
  <si>
    <t>0.33 Nos</t>
  </si>
  <si>
    <t>0.41 Ctm</t>
  </si>
  <si>
    <t>0.36 Kgs</t>
  </si>
  <si>
    <t>3.32 Nos</t>
  </si>
  <si>
    <t>0.07 Kgs</t>
  </si>
  <si>
    <t>209.4 Nos</t>
  </si>
  <si>
    <t>35.8 Nos</t>
  </si>
  <si>
    <t>2.8 Kgs</t>
  </si>
  <si>
    <t>25.92 Kgs</t>
  </si>
  <si>
    <t>0.34 Kgs</t>
  </si>
  <si>
    <t>41.62 Kgs</t>
  </si>
  <si>
    <t>0.4 Nos</t>
  </si>
  <si>
    <t>25.57 Nos</t>
  </si>
  <si>
    <t>1.65 Nos</t>
  </si>
  <si>
    <t>4.98 Kgs</t>
  </si>
  <si>
    <t>656.68 Nos</t>
  </si>
  <si>
    <t>0.09 Mtr</t>
  </si>
  <si>
    <t>4.3 Kgs</t>
  </si>
  <si>
    <t>5.43 Nos</t>
  </si>
  <si>
    <t>4.29 Kgs</t>
  </si>
  <si>
    <t>4.11 Sqm</t>
  </si>
  <si>
    <t>44.39 Kgs</t>
  </si>
  <si>
    <t>14555 Kgs</t>
  </si>
  <si>
    <t>4896 Kgs</t>
  </si>
  <si>
    <t>12 Sqm</t>
  </si>
  <si>
    <t>136206 Kgs</t>
  </si>
  <si>
    <t>100 Nos</t>
  </si>
  <si>
    <t>248 Kgs</t>
  </si>
  <si>
    <t>6 Nos</t>
  </si>
  <si>
    <t>57 Kgs</t>
  </si>
  <si>
    <t>2 Kgs</t>
  </si>
  <si>
    <t>124000 Kgs</t>
  </si>
  <si>
    <t>500 Kgs</t>
  </si>
  <si>
    <t>870 Nos</t>
  </si>
  <si>
    <t>508 Kgs</t>
  </si>
  <si>
    <t>18608 Kgs</t>
  </si>
  <si>
    <t>10461 Kgs</t>
  </si>
  <si>
    <t>7865 Nos</t>
  </si>
  <si>
    <t>1998 Kgs</t>
  </si>
  <si>
    <t>1.07 Kgs</t>
  </si>
  <si>
    <t>30.97 Kgs</t>
  </si>
  <si>
    <t>0.86 Kgs</t>
  </si>
  <si>
    <t>6.96 Kgs</t>
  </si>
  <si>
    <t>1.71 Nos</t>
  </si>
  <si>
    <t>43.47 Kgs</t>
  </si>
  <si>
    <t>5.88 Nos</t>
  </si>
  <si>
    <t>8.44 Kgs</t>
  </si>
  <si>
    <t>17.72 Kgs</t>
  </si>
  <si>
    <t>54.75 Kgs</t>
  </si>
  <si>
    <t>55 Kgs</t>
  </si>
  <si>
    <t>1.14 Kgs</t>
  </si>
  <si>
    <t>0.22 Kgs</t>
  </si>
  <si>
    <t>0.07 Prs</t>
  </si>
  <si>
    <t>0.11 Sqm</t>
  </si>
  <si>
    <t>0.02 Sqm</t>
  </si>
  <si>
    <t xml:space="preserve"> None</t>
  </si>
  <si>
    <t>8.42 Nos</t>
  </si>
  <si>
    <t>28.61 Kgs</t>
  </si>
  <si>
    <t>6 Kgs</t>
  </si>
  <si>
    <t>14.19 Sqm</t>
  </si>
  <si>
    <t>98.56 Nos</t>
  </si>
  <si>
    <t>0.11 Kgs</t>
  </si>
  <si>
    <t>50.22 Kgs</t>
  </si>
  <si>
    <t>104.3 Prs</t>
  </si>
  <si>
    <t>6.75 Kgs</t>
  </si>
  <si>
    <t>14.62 Kgs</t>
  </si>
  <si>
    <t>9.24 Kgs</t>
  </si>
  <si>
    <t>8.16 Nos</t>
  </si>
  <si>
    <t>42.7 Kgs</t>
  </si>
  <si>
    <t>351 Nos</t>
  </si>
  <si>
    <t>7629 Kgs</t>
  </si>
  <si>
    <t>1002 Nos</t>
  </si>
  <si>
    <t>218 Nos</t>
  </si>
  <si>
    <t>9 Nos</t>
  </si>
  <si>
    <t>2792 Kgs</t>
  </si>
  <si>
    <t>127955 Kgs</t>
  </si>
  <si>
    <t>1193 Nos</t>
  </si>
  <si>
    <t>74 Kgs</t>
  </si>
  <si>
    <t>2.16 Kgs</t>
  </si>
  <si>
    <t>23.42 Sqm</t>
  </si>
  <si>
    <t>45 Kgs</t>
  </si>
  <si>
    <t>9.38 Nos</t>
  </si>
  <si>
    <t>0.48 Mtr</t>
  </si>
  <si>
    <t>2.59 Nos</t>
  </si>
  <si>
    <t>3.09 Kgs</t>
  </si>
  <si>
    <t>9.84 Kgs</t>
  </si>
  <si>
    <t>3 Kgs</t>
  </si>
  <si>
    <t>61.42 Kgs</t>
  </si>
  <si>
    <t>33.92 Nos</t>
  </si>
  <si>
    <t>542 Nos</t>
  </si>
  <si>
    <t>1.82 Kgs</t>
  </si>
  <si>
    <t>17.9 Kgs</t>
  </si>
  <si>
    <t>0.35 Kgs</t>
  </si>
  <si>
    <t>10 Nos</t>
  </si>
  <si>
    <t>66 Kgs</t>
  </si>
  <si>
    <t>8.54 Kgs</t>
  </si>
  <si>
    <t>167.58 Kgs</t>
  </si>
  <si>
    <t>0.4 Kgs</t>
  </si>
  <si>
    <t>24.1 Kgs</t>
  </si>
  <si>
    <t>4 Kgs</t>
  </si>
  <si>
    <t>3.38 Kgs</t>
  </si>
  <si>
    <t>1012.14 Kgs</t>
  </si>
  <si>
    <t>0.17 Kgs</t>
  </si>
  <si>
    <t>0.27 Kgs</t>
  </si>
  <si>
    <t>1.16 Nos</t>
  </si>
  <si>
    <t>0.5 Kgs</t>
  </si>
  <si>
    <t>8839 Ctm</t>
  </si>
  <si>
    <t>2424 Nos</t>
  </si>
  <si>
    <t>115 Kgs</t>
  </si>
  <si>
    <t>4975 Kgs</t>
  </si>
  <si>
    <t>1925 Kgs</t>
  </si>
  <si>
    <t>789 Kgs</t>
  </si>
  <si>
    <t>6426 Kgs</t>
  </si>
  <si>
    <t>283 Nos</t>
  </si>
  <si>
    <t>2.28 Kgs</t>
  </si>
  <si>
    <t>78.5 Kgs</t>
  </si>
  <si>
    <t>2.56 Sqm</t>
  </si>
  <si>
    <t>57.42 Kgs</t>
  </si>
  <si>
    <t>5.49 Nos</t>
  </si>
  <si>
    <t>133.04 Nos</t>
  </si>
  <si>
    <t>7.33 Kgs</t>
  </si>
  <si>
    <t>158.39 Nos</t>
  </si>
  <si>
    <t>0.72 Kgs</t>
  </si>
  <si>
    <t>2.2 Kgs</t>
  </si>
  <si>
    <t>116.82 Nos</t>
  </si>
  <si>
    <t>34.5 Kgs</t>
  </si>
  <si>
    <t>3.52 Kgs</t>
  </si>
  <si>
    <t>4810 Kgs</t>
  </si>
  <si>
    <t>19.74 Sqm</t>
  </si>
  <si>
    <t>8 Kgs</t>
  </si>
  <si>
    <t>1.19 Kgs</t>
  </si>
  <si>
    <t>646 Kgs</t>
  </si>
  <si>
    <t>18.5 Kgs</t>
  </si>
  <si>
    <t>4.28 Nos</t>
  </si>
  <si>
    <t>0.9 Kgs</t>
  </si>
  <si>
    <t>22.94 Prs</t>
  </si>
  <si>
    <t>12078 Kgs</t>
  </si>
  <si>
    <t>3059 Kgs</t>
  </si>
  <si>
    <t>211 Sqm</t>
  </si>
  <si>
    <t>2100 Kgs</t>
  </si>
  <si>
    <t>0.63 Prs</t>
  </si>
  <si>
    <t>0.18 Nos</t>
  </si>
  <si>
    <t>95.34 Nos</t>
  </si>
  <si>
    <t>25.58 Kgs</t>
  </si>
  <si>
    <t>1.63 Nos</t>
  </si>
  <si>
    <t>0.89 Kgs</t>
  </si>
  <si>
    <t>12.53 Kgs</t>
  </si>
  <si>
    <t>0 Prs</t>
  </si>
  <si>
    <t>1994.02 Kgs</t>
  </si>
  <si>
    <t>12.31 Kgs</t>
  </si>
  <si>
    <t>138.2 Kgs</t>
  </si>
  <si>
    <t>0.08 Nos</t>
  </si>
  <si>
    <t>5.08 Kgs</t>
  </si>
  <si>
    <t>5.66 Kgs</t>
  </si>
  <si>
    <t>31.24 Kgs</t>
  </si>
  <si>
    <t>277 Kgs</t>
  </si>
  <si>
    <t>0.45 Sqm</t>
  </si>
  <si>
    <t>1.55 Nos</t>
  </si>
  <si>
    <t>4.71 Nos</t>
  </si>
  <si>
    <t>0.78 Kgs</t>
  </si>
  <si>
    <t>12 Kgs</t>
  </si>
  <si>
    <t>17.9 Sqm</t>
  </si>
  <si>
    <t>9.6 Kgs</t>
  </si>
  <si>
    <t>38 Nos</t>
  </si>
  <si>
    <t>17 Kgs</t>
  </si>
  <si>
    <t>1732 Nos</t>
  </si>
  <si>
    <t>6012 Nos</t>
  </si>
  <si>
    <t>0.65 Kgs</t>
  </si>
  <si>
    <t>1.01 Nos</t>
  </si>
  <si>
    <t>2.5 Kgs</t>
  </si>
  <si>
    <t>0.16 Ctm</t>
  </si>
  <si>
    <t>2.83 Kgs</t>
  </si>
  <si>
    <t>0.45 Kgs</t>
  </si>
  <si>
    <t>8.8 Kgs</t>
  </si>
  <si>
    <t>1.5 Kgs</t>
  </si>
  <si>
    <t>10.48 Kgs</t>
  </si>
  <si>
    <t>84.16 Kgs</t>
  </si>
  <si>
    <t>161.07 Kgs</t>
  </si>
  <si>
    <t>2.68 Nos</t>
  </si>
  <si>
    <t>5 Kgs</t>
  </si>
  <si>
    <t>1.09 Nos</t>
  </si>
  <si>
    <t>591.18 Nos</t>
  </si>
  <si>
    <t>0.91 Nos</t>
  </si>
  <si>
    <t>96.39 Kgs</t>
  </si>
  <si>
    <t>Row Labels</t>
  </si>
  <si>
    <t>(blank)</t>
  </si>
  <si>
    <t>Grand Total</t>
  </si>
  <si>
    <t>Count of Quantity(No of Commodity)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</si>
</sst>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4" tint="0.39997558519241921"/>
      </right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4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2" fontId="0" fillId="0" borderId="0" xfId="0" applyNumberFormat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1" fillId="2" borderId="2" xfId="0" applyFont="1" applyFill="1" applyBorder="1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1" fillId="2" borderId="4" xfId="0" applyFont="1" applyFill="1" applyBorder="1"/>
    <xf numFmtId="0" fontId="0" fillId="4" borderId="4" xfId="0" applyFill="1" applyBorder="1"/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3" borderId="2" xfId="0" applyFill="1" applyBorder="1"/>
    <xf numFmtId="0" fontId="0" fillId="3" borderId="4" xfId="0" applyFill="1" applyBorder="1"/>
    <xf numFmtId="0" fontId="0" fillId="0" borderId="4" xfId="0" applyBorder="1"/>
    <xf numFmtId="0" fontId="0" fillId="0" borderId="2" xfId="0" applyBorder="1"/>
    <xf numFmtId="0" fontId="0" fillId="3" borderId="5" xfId="0" applyFill="1" applyBorder="1"/>
    <xf numFmtId="0" fontId="0" fillId="3" borderId="1" xfId="0" applyFill="1" applyBorder="1" applyAlignment="1">
      <alignment horizontal="left"/>
    </xf>
    <xf numFmtId="0" fontId="0" fillId="3" borderId="3" xfId="0" applyFill="1" applyBorder="1"/>
    <xf numFmtId="0" fontId="1" fillId="2" borderId="0" xfId="0" applyFont="1" applyFill="1"/>
    <xf numFmtId="0" fontId="1" fillId="2" borderId="9" xfId="0" applyFont="1" applyFill="1" applyBorder="1"/>
    <xf numFmtId="0" fontId="0" fillId="3" borderId="9" xfId="0" applyFill="1" applyBorder="1"/>
    <xf numFmtId="0" fontId="0" fillId="0" borderId="9" xfId="0" applyBorder="1"/>
    <xf numFmtId="0" fontId="0" fillId="0" borderId="7" xfId="0" applyBorder="1"/>
    <xf numFmtId="165" fontId="1" fillId="2" borderId="0" xfId="0" applyNumberFormat="1" applyFont="1" applyFill="1"/>
    <xf numFmtId="165" fontId="0" fillId="0" borderId="0" xfId="0" applyNumberFormat="1"/>
    <xf numFmtId="165" fontId="1" fillId="2" borderId="6" xfId="0" applyNumberFormat="1" applyFont="1" applyFill="1" applyBorder="1"/>
    <xf numFmtId="165" fontId="0" fillId="3" borderId="6" xfId="0" applyNumberFormat="1" applyFill="1" applyBorder="1"/>
    <xf numFmtId="165" fontId="0" fillId="0" borderId="6" xfId="0" applyNumberFormat="1" applyBorder="1"/>
    <xf numFmtId="165" fontId="0" fillId="0" borderId="8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 set.xlsx]Forecast Pivot Table!PivotTable1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'Forecast 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'Forecast Pivot Table'!$A$4:$A$105</c:f>
              <c:strCache>
                <c:ptCount val="101"/>
                <c:pt idx="0">
                  <c:v>01-01-2015</c:v>
                </c:pt>
                <c:pt idx="1">
                  <c:v>01-01-2016</c:v>
                </c:pt>
                <c:pt idx="2">
                  <c:v>01-01-2017</c:v>
                </c:pt>
                <c:pt idx="3">
                  <c:v>01-01-2018</c:v>
                </c:pt>
                <c:pt idx="4">
                  <c:v>01-01-2019</c:v>
                </c:pt>
                <c:pt idx="5">
                  <c:v>01-01-2020</c:v>
                </c:pt>
                <c:pt idx="6">
                  <c:v>01-01-2021</c:v>
                </c:pt>
                <c:pt idx="7">
                  <c:v>01-01-2025</c:v>
                </c:pt>
                <c:pt idx="8">
                  <c:v>01-02-2015</c:v>
                </c:pt>
                <c:pt idx="9">
                  <c:v>01-02-2016</c:v>
                </c:pt>
                <c:pt idx="10">
                  <c:v>01-02-2017</c:v>
                </c:pt>
                <c:pt idx="11">
                  <c:v>01-02-2018</c:v>
                </c:pt>
                <c:pt idx="12">
                  <c:v>01-02-2019</c:v>
                </c:pt>
                <c:pt idx="13">
                  <c:v>01-02-2020</c:v>
                </c:pt>
                <c:pt idx="14">
                  <c:v>01-02-2021</c:v>
                </c:pt>
                <c:pt idx="15">
                  <c:v>01-02-2025</c:v>
                </c:pt>
                <c:pt idx="16">
                  <c:v>01-03-2015</c:v>
                </c:pt>
                <c:pt idx="17">
                  <c:v>01-03-2016</c:v>
                </c:pt>
                <c:pt idx="18">
                  <c:v>01-03-2017</c:v>
                </c:pt>
                <c:pt idx="19">
                  <c:v>01-03-2018</c:v>
                </c:pt>
                <c:pt idx="20">
                  <c:v>01-03-2019</c:v>
                </c:pt>
                <c:pt idx="21">
                  <c:v>01-03-2020</c:v>
                </c:pt>
                <c:pt idx="22">
                  <c:v>01-03-2021</c:v>
                </c:pt>
                <c:pt idx="23">
                  <c:v>01-03-2025</c:v>
                </c:pt>
                <c:pt idx="24">
                  <c:v>01-04-2015</c:v>
                </c:pt>
                <c:pt idx="25">
                  <c:v>01-04-2016</c:v>
                </c:pt>
                <c:pt idx="26">
                  <c:v>01-04-2017</c:v>
                </c:pt>
                <c:pt idx="27">
                  <c:v>01-04-2018</c:v>
                </c:pt>
                <c:pt idx="28">
                  <c:v>01-04-2019</c:v>
                </c:pt>
                <c:pt idx="29">
                  <c:v>01-04-2020</c:v>
                </c:pt>
                <c:pt idx="30">
                  <c:v>01-04-2021</c:v>
                </c:pt>
                <c:pt idx="31">
                  <c:v>01-04-2024</c:v>
                </c:pt>
                <c:pt idx="32">
                  <c:v>01-04-2025</c:v>
                </c:pt>
                <c:pt idx="33">
                  <c:v>01-05-2015</c:v>
                </c:pt>
                <c:pt idx="34">
                  <c:v>01-05-2016</c:v>
                </c:pt>
                <c:pt idx="35">
                  <c:v>01-05-2017</c:v>
                </c:pt>
                <c:pt idx="36">
                  <c:v>01-05-2018</c:v>
                </c:pt>
                <c:pt idx="37">
                  <c:v>01-05-2019</c:v>
                </c:pt>
                <c:pt idx="38">
                  <c:v>01-05-2020</c:v>
                </c:pt>
                <c:pt idx="39">
                  <c:v>01-05-2021</c:v>
                </c:pt>
                <c:pt idx="40">
                  <c:v>01-05-2024</c:v>
                </c:pt>
                <c:pt idx="41">
                  <c:v>01-05-2025</c:v>
                </c:pt>
                <c:pt idx="42">
                  <c:v>01-06-2015</c:v>
                </c:pt>
                <c:pt idx="43">
                  <c:v>01-06-2016</c:v>
                </c:pt>
                <c:pt idx="44">
                  <c:v>01-06-2017</c:v>
                </c:pt>
                <c:pt idx="45">
                  <c:v>01-06-2018</c:v>
                </c:pt>
                <c:pt idx="46">
                  <c:v>01-06-2019</c:v>
                </c:pt>
                <c:pt idx="47">
                  <c:v>01-06-2020</c:v>
                </c:pt>
                <c:pt idx="48">
                  <c:v>01-06-2021</c:v>
                </c:pt>
                <c:pt idx="49">
                  <c:v>01-06-2024</c:v>
                </c:pt>
                <c:pt idx="50">
                  <c:v>01-06-2025</c:v>
                </c:pt>
                <c:pt idx="51">
                  <c:v>01-07-2015</c:v>
                </c:pt>
                <c:pt idx="52">
                  <c:v>01-07-2016</c:v>
                </c:pt>
                <c:pt idx="53">
                  <c:v>01-07-2017</c:v>
                </c:pt>
                <c:pt idx="54">
                  <c:v>01-07-2018</c:v>
                </c:pt>
                <c:pt idx="55">
                  <c:v>01-07-2019</c:v>
                </c:pt>
                <c:pt idx="56">
                  <c:v>01-07-2020</c:v>
                </c:pt>
                <c:pt idx="57">
                  <c:v>01-07-2021</c:v>
                </c:pt>
                <c:pt idx="58">
                  <c:v>01-07-2024</c:v>
                </c:pt>
                <c:pt idx="59">
                  <c:v>01-07-2025</c:v>
                </c:pt>
                <c:pt idx="60">
                  <c:v>01-08-2015</c:v>
                </c:pt>
                <c:pt idx="61">
                  <c:v>01-08-2016</c:v>
                </c:pt>
                <c:pt idx="62">
                  <c:v>01-08-2017</c:v>
                </c:pt>
                <c:pt idx="63">
                  <c:v>01-08-2018</c:v>
                </c:pt>
                <c:pt idx="64">
                  <c:v>01-08-2019</c:v>
                </c:pt>
                <c:pt idx="65">
                  <c:v>01-08-2020</c:v>
                </c:pt>
                <c:pt idx="66">
                  <c:v>01-08-2021</c:v>
                </c:pt>
                <c:pt idx="67">
                  <c:v>01-08-2024</c:v>
                </c:pt>
                <c:pt idx="68">
                  <c:v>01-09-2015</c:v>
                </c:pt>
                <c:pt idx="69">
                  <c:v>01-09-2016</c:v>
                </c:pt>
                <c:pt idx="70">
                  <c:v>01-09-2017</c:v>
                </c:pt>
                <c:pt idx="71">
                  <c:v>01-09-2018</c:v>
                </c:pt>
                <c:pt idx="72">
                  <c:v>01-09-2019</c:v>
                </c:pt>
                <c:pt idx="73">
                  <c:v>01-09-2020</c:v>
                </c:pt>
                <c:pt idx="74">
                  <c:v>01-09-2021</c:v>
                </c:pt>
                <c:pt idx="75">
                  <c:v>01-09-2024</c:v>
                </c:pt>
                <c:pt idx="76">
                  <c:v>01-10-2015</c:v>
                </c:pt>
                <c:pt idx="77">
                  <c:v>01-10-2016</c:v>
                </c:pt>
                <c:pt idx="78">
                  <c:v>01-10-2017</c:v>
                </c:pt>
                <c:pt idx="79">
                  <c:v>01-10-2018</c:v>
                </c:pt>
                <c:pt idx="80">
                  <c:v>01-10-2019</c:v>
                </c:pt>
                <c:pt idx="81">
                  <c:v>01-10-2020</c:v>
                </c:pt>
                <c:pt idx="82">
                  <c:v>01-10-2021</c:v>
                </c:pt>
                <c:pt idx="83">
                  <c:v>01-10-2024</c:v>
                </c:pt>
                <c:pt idx="84">
                  <c:v>01-11-2015</c:v>
                </c:pt>
                <c:pt idx="85">
                  <c:v>01-11-2016</c:v>
                </c:pt>
                <c:pt idx="86">
                  <c:v>01-11-2017</c:v>
                </c:pt>
                <c:pt idx="87">
                  <c:v>01-11-2018</c:v>
                </c:pt>
                <c:pt idx="88">
                  <c:v>01-11-2019</c:v>
                </c:pt>
                <c:pt idx="89">
                  <c:v>01-11-2020</c:v>
                </c:pt>
                <c:pt idx="90">
                  <c:v>01-11-2021</c:v>
                </c:pt>
                <c:pt idx="91">
                  <c:v>01-11-2024</c:v>
                </c:pt>
                <c:pt idx="92">
                  <c:v>01-12-2015</c:v>
                </c:pt>
                <c:pt idx="93">
                  <c:v>01-12-2016</c:v>
                </c:pt>
                <c:pt idx="94">
                  <c:v>01-12-2017</c:v>
                </c:pt>
                <c:pt idx="95">
                  <c:v>01-12-2018</c:v>
                </c:pt>
                <c:pt idx="96">
                  <c:v>01-12-2019</c:v>
                </c:pt>
                <c:pt idx="97">
                  <c:v>01-12-2020</c:v>
                </c:pt>
                <c:pt idx="98">
                  <c:v>01-12-2021</c:v>
                </c:pt>
                <c:pt idx="99">
                  <c:v>01-12-2024</c:v>
                </c:pt>
                <c:pt idx="100">
                  <c:v>(blank)</c:v>
                </c:pt>
              </c:strCache>
            </c:strRef>
          </c:cat>
          <c:val>
            <c:numRef>
              <c:f>'Forecast Pivot Table'!$B$4:$B$105</c:f>
              <c:numCache>
                <c:formatCode>General</c:formatCode>
                <c:ptCount val="101"/>
                <c:pt idx="0">
                  <c:v>3</c:v>
                </c:pt>
                <c:pt idx="1">
                  <c:v>2</c:v>
                </c:pt>
                <c:pt idx="2">
                  <c:v>8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3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2</c:v>
                </c:pt>
                <c:pt idx="18">
                  <c:v>4</c:v>
                </c:pt>
                <c:pt idx="19">
                  <c:v>5</c:v>
                </c:pt>
                <c:pt idx="20">
                  <c:v>7</c:v>
                </c:pt>
                <c:pt idx="21">
                  <c:v>1</c:v>
                </c:pt>
                <c:pt idx="22">
                  <c:v>5</c:v>
                </c:pt>
                <c:pt idx="23">
                  <c:v>10</c:v>
                </c:pt>
                <c:pt idx="24">
                  <c:v>6</c:v>
                </c:pt>
                <c:pt idx="25">
                  <c:v>4</c:v>
                </c:pt>
                <c:pt idx="26">
                  <c:v>6</c:v>
                </c:pt>
                <c:pt idx="27">
                  <c:v>4</c:v>
                </c:pt>
                <c:pt idx="28">
                  <c:v>4</c:v>
                </c:pt>
                <c:pt idx="29">
                  <c:v>2</c:v>
                </c:pt>
                <c:pt idx="30">
                  <c:v>8</c:v>
                </c:pt>
                <c:pt idx="31">
                  <c:v>4</c:v>
                </c:pt>
                <c:pt idx="32">
                  <c:v>6</c:v>
                </c:pt>
                <c:pt idx="33">
                  <c:v>5</c:v>
                </c:pt>
                <c:pt idx="34">
                  <c:v>2</c:v>
                </c:pt>
                <c:pt idx="35">
                  <c:v>6</c:v>
                </c:pt>
                <c:pt idx="36">
                  <c:v>6</c:v>
                </c:pt>
                <c:pt idx="37">
                  <c:v>5</c:v>
                </c:pt>
                <c:pt idx="38">
                  <c:v>5</c:v>
                </c:pt>
                <c:pt idx="39">
                  <c:v>10</c:v>
                </c:pt>
                <c:pt idx="40">
                  <c:v>12</c:v>
                </c:pt>
                <c:pt idx="41">
                  <c:v>6</c:v>
                </c:pt>
                <c:pt idx="42">
                  <c:v>4</c:v>
                </c:pt>
                <c:pt idx="43">
                  <c:v>5</c:v>
                </c:pt>
                <c:pt idx="44">
                  <c:v>3</c:v>
                </c:pt>
                <c:pt idx="45">
                  <c:v>7</c:v>
                </c:pt>
                <c:pt idx="46">
                  <c:v>5</c:v>
                </c:pt>
                <c:pt idx="47">
                  <c:v>8</c:v>
                </c:pt>
                <c:pt idx="48">
                  <c:v>4</c:v>
                </c:pt>
                <c:pt idx="49">
                  <c:v>2</c:v>
                </c:pt>
                <c:pt idx="50">
                  <c:v>9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5</c:v>
                </c:pt>
                <c:pt idx="55">
                  <c:v>5</c:v>
                </c:pt>
                <c:pt idx="56">
                  <c:v>4</c:v>
                </c:pt>
                <c:pt idx="57">
                  <c:v>6</c:v>
                </c:pt>
                <c:pt idx="58">
                  <c:v>6</c:v>
                </c:pt>
                <c:pt idx="59">
                  <c:v>5</c:v>
                </c:pt>
                <c:pt idx="60">
                  <c:v>4</c:v>
                </c:pt>
                <c:pt idx="61">
                  <c:v>2</c:v>
                </c:pt>
                <c:pt idx="62">
                  <c:v>2</c:v>
                </c:pt>
                <c:pt idx="63">
                  <c:v>4</c:v>
                </c:pt>
                <c:pt idx="64">
                  <c:v>6</c:v>
                </c:pt>
                <c:pt idx="65">
                  <c:v>4</c:v>
                </c:pt>
                <c:pt idx="66">
                  <c:v>6</c:v>
                </c:pt>
                <c:pt idx="67">
                  <c:v>9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3</c:v>
                </c:pt>
                <c:pt idx="72">
                  <c:v>7</c:v>
                </c:pt>
                <c:pt idx="73">
                  <c:v>6</c:v>
                </c:pt>
                <c:pt idx="74">
                  <c:v>2</c:v>
                </c:pt>
                <c:pt idx="75">
                  <c:v>7</c:v>
                </c:pt>
                <c:pt idx="76">
                  <c:v>6</c:v>
                </c:pt>
                <c:pt idx="77">
                  <c:v>7</c:v>
                </c:pt>
                <c:pt idx="78">
                  <c:v>8</c:v>
                </c:pt>
                <c:pt idx="79">
                  <c:v>7</c:v>
                </c:pt>
                <c:pt idx="80">
                  <c:v>6</c:v>
                </c:pt>
                <c:pt idx="81">
                  <c:v>4</c:v>
                </c:pt>
                <c:pt idx="82">
                  <c:v>4</c:v>
                </c:pt>
                <c:pt idx="83">
                  <c:v>5</c:v>
                </c:pt>
                <c:pt idx="84">
                  <c:v>6</c:v>
                </c:pt>
                <c:pt idx="85">
                  <c:v>3</c:v>
                </c:pt>
                <c:pt idx="86">
                  <c:v>3</c:v>
                </c:pt>
                <c:pt idx="87">
                  <c:v>6</c:v>
                </c:pt>
                <c:pt idx="88">
                  <c:v>10</c:v>
                </c:pt>
                <c:pt idx="89">
                  <c:v>4</c:v>
                </c:pt>
                <c:pt idx="90">
                  <c:v>6</c:v>
                </c:pt>
                <c:pt idx="91">
                  <c:v>10</c:v>
                </c:pt>
                <c:pt idx="92">
                  <c:v>5</c:v>
                </c:pt>
                <c:pt idx="93">
                  <c:v>2</c:v>
                </c:pt>
                <c:pt idx="94">
                  <c:v>3</c:v>
                </c:pt>
                <c:pt idx="95">
                  <c:v>3</c:v>
                </c:pt>
                <c:pt idx="96">
                  <c:v>5</c:v>
                </c:pt>
                <c:pt idx="97">
                  <c:v>3</c:v>
                </c:pt>
                <c:pt idx="98">
                  <c:v>3</c:v>
                </c:pt>
                <c:pt idx="9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71-458C-AEFC-399FA4772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5939168"/>
        <c:axId val="1425939648"/>
      </c:lineChart>
      <c:catAx>
        <c:axId val="142593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939648"/>
        <c:crosses val="autoZero"/>
        <c:auto val="1"/>
        <c:lblAlgn val="ctr"/>
        <c:lblOffset val="100"/>
        <c:noMultiLvlLbl val="0"/>
      </c:catAx>
      <c:valAx>
        <c:axId val="142593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93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107950</xdr:colOff>
      <xdr:row>1</xdr:row>
      <xdr:rowOff>98425</xdr:rowOff>
    </xdr:from>
    <xdr:to>
      <xdr:col>13</xdr:col>
      <xdr:colOff>76200</xdr:colOff>
      <xdr:row>16</xdr:row>
      <xdr:rowOff>79375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61910A-B9D3-046E-7FA6-CD210754EE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ICA" refreshedDate="46009.494029745372" createdVersion="8" refreshedVersion="8" minRefreshableVersion="3" recordCount="501" xr:uid="{98877449-0AA0-4A41-AFB2-028D7533FFF9}">
  <cacheSource type="worksheet">
    <worksheetSource ref="A1:B1048576" sheet="Forecast Table"/>
  </cacheSource>
  <cacheFields count="2">
    <cacheField name="Date " numFmtId="0">
      <sharedItems containsBlank="1" count="101">
        <s v="01-12-2024"/>
        <s v="01-12-2021"/>
        <s v="01-12-2020"/>
        <s v="01-12-2019"/>
        <s v="01-12-2018"/>
        <s v="01-12-2017"/>
        <s v="01-12-2016"/>
        <s v="01-12-2015"/>
        <s v="01-11-2024"/>
        <s v="01-11-2021"/>
        <s v="01-11-2020"/>
        <s v="01-11-2019"/>
        <s v="01-11-2018"/>
        <s v="01-11-2017"/>
        <s v="01-11-2016"/>
        <s v="01-11-2015"/>
        <s v="01-10-2024"/>
        <s v="01-10-2021"/>
        <s v="01-10-2020"/>
        <s v="01-10-2019"/>
        <s v="01-10-2018"/>
        <s v="01-10-2017"/>
        <s v="01-10-2016"/>
        <s v="01-10-2015"/>
        <s v="01-09-2024"/>
        <s v="01-09-2021"/>
        <s v="01-09-2020"/>
        <s v="01-09-2019"/>
        <s v="01-09-2018"/>
        <s v="01-09-2017"/>
        <s v="01-09-2016"/>
        <s v="01-09-2015"/>
        <s v="01-08-2024"/>
        <s v="01-08-2021"/>
        <s v="01-08-2020"/>
        <s v="01-08-2019"/>
        <s v="01-08-2018"/>
        <s v="01-08-2017"/>
        <s v="01-08-2016"/>
        <s v="01-08-2015"/>
        <s v="01-07-2025"/>
        <s v="01-07-2024"/>
        <s v="01-07-2021"/>
        <s v="01-07-2020"/>
        <s v="01-07-2019"/>
        <s v="01-07-2018"/>
        <s v="01-07-2017"/>
        <s v="01-07-2016"/>
        <s v="01-07-2015"/>
        <s v="01-06-2025"/>
        <s v="01-06-2024"/>
        <s v="01-06-2021"/>
        <s v="01-06-2020"/>
        <s v="01-06-2019"/>
        <s v="01-06-2018"/>
        <s v="01-06-2017"/>
        <s v="01-06-2016"/>
        <s v="01-06-2015"/>
        <s v="01-05-2025"/>
        <s v="01-05-2024"/>
        <s v="01-05-2021"/>
        <s v="01-05-2020"/>
        <s v="01-05-2019"/>
        <s v="01-05-2018"/>
        <s v="01-05-2017"/>
        <s v="01-05-2016"/>
        <s v="01-05-2015"/>
        <s v="01-04-2025"/>
        <s v="01-04-2024"/>
        <s v="01-04-2021"/>
        <s v="01-04-2020"/>
        <s v="01-04-2019"/>
        <s v="01-04-2018"/>
        <s v="01-04-2017"/>
        <s v="01-04-2016"/>
        <s v="01-04-2015"/>
        <s v="01-03-2025"/>
        <s v="01-03-2021"/>
        <s v="01-03-2020"/>
        <s v="01-03-2019"/>
        <s v="01-03-2018"/>
        <s v="01-03-2017"/>
        <s v="01-03-2016"/>
        <s v="01-03-2015"/>
        <s v="01-02-2025"/>
        <s v="01-02-2021"/>
        <s v="01-02-2020"/>
        <s v="01-02-2019"/>
        <s v="01-02-2018"/>
        <s v="01-02-2017"/>
        <s v="01-02-2016"/>
        <s v="01-02-2015"/>
        <s v="01-01-2025"/>
        <s v="01-01-2021"/>
        <s v="01-01-2020"/>
        <s v="01-01-2019"/>
        <s v="01-01-2018"/>
        <s v="01-01-2017"/>
        <s v="01-01-2016"/>
        <s v="01-01-2015"/>
        <m/>
      </sharedItems>
    </cacheField>
    <cacheField name="Quantity(No of Commodity)" numFmtId="0">
      <sharedItems containsBlank="1" count="392">
        <s v="1 Nos"/>
        <s v="1472 Kgs"/>
        <s v="148118 Nos"/>
        <s v="914 Kgs"/>
        <s v="1757 Nos"/>
        <s v="36749 Kgs"/>
        <s v="1 Kgs"/>
        <s v="24099 Kgs"/>
        <s v="371 Kgs"/>
        <s v="17558 Kgs"/>
        <s v="3.15 Kgs"/>
        <s v="13.5 Kgs"/>
        <s v="1.4 Nos"/>
        <s v="0.33 Kgs"/>
        <s v="25 Kgs"/>
        <s v="11.39 Sqm"/>
        <s v="0.15 Kgs"/>
        <s v="15.4 Kgs"/>
        <s v="0 Kgs"/>
        <s v="27.64 Kgs"/>
        <s v="33.9 Nos"/>
        <s v="0.1 Kgs"/>
        <s v="0 Sqm"/>
        <s v="28 Kgs"/>
        <s v="7.24 Kgs"/>
        <s v="0.28 Kgs"/>
        <s v="193.2 Nos"/>
        <s v="40 Kgs"/>
        <s v="1.25 Sqm"/>
        <s v="0.2 Sqm"/>
        <s v="17.11 Nos"/>
        <s v="38 Kgs"/>
        <s v="128 Sqm"/>
        <s v="419 Nos"/>
        <s v="48 Nos"/>
        <s v="456 Kgs"/>
        <s v="72 Kgs"/>
        <s v="50332 Kgs"/>
        <s v="2 Nos"/>
        <s v="3000 Kgs"/>
        <s v="0.03 Kgs"/>
        <s v="0.09 Kgs"/>
        <s v="0.62 Nos"/>
        <s v="1.35 Nos"/>
        <s v="0.1 Nos"/>
        <s v="43.85 Kgs"/>
        <s v="0.04 Kgs"/>
        <s v="9.1 Kgs"/>
        <s v="50.23 Nos"/>
        <s v="21.23 Kgs"/>
        <s v="0.16 Kgs"/>
        <s v="0.03 Nos"/>
        <s v="43.4 Kgs"/>
        <s v="14 Kgs"/>
        <s v="0.14 Kgs"/>
        <s v="0 Nos"/>
        <s v="0.85 Kgs"/>
        <s v="78.88 Kgs"/>
        <s v="0.02 Kgs"/>
        <s v="41.49 Kgs"/>
        <s v="0.02 Ton"/>
        <s v="14.04 Kgs"/>
        <s v="0.5 Nos"/>
        <s v="17.15 Kgs"/>
        <s v="0.06 Kgs"/>
        <s v="0.3 Kgs"/>
        <s v="8.33 Kgs"/>
        <s v="3.5 Kgs"/>
        <s v="1.92 Kgs"/>
        <s v="2.95 Kgs"/>
        <s v="13.88 Nos"/>
        <s v="2494 Kgs"/>
        <s v="527 Kgs"/>
        <s v="2500 Kgs"/>
        <s v="0.08 Kgs"/>
        <s v="2.98 Kgs"/>
        <s v="3.77 Nos"/>
        <s v="42.45 Kgs"/>
        <s v="2.4 Kgs"/>
        <s v="12.15 Kgs"/>
        <s v="6.43 Nos"/>
        <s v="1.2 Kgs"/>
        <s v="17.88 Kgs"/>
        <s v="6.47 Kgs"/>
        <s v="0.23 Kgs"/>
        <s v="13.22 Kgs"/>
        <s v="989.48 Kgs"/>
        <s v="10 Kgs"/>
        <s v="20 Kgs"/>
        <s v="15 Kgs"/>
        <s v="1.54 Kgs"/>
        <s v="35.1 Nos"/>
        <s v="19.99 Nos"/>
        <s v="0.01 Kgs"/>
        <s v="30.25 Kgs"/>
        <s v="0.01 Nos"/>
        <s v="0.38 Kgs"/>
        <s v="10.75 Kgs"/>
        <s v="5.53 Kgs"/>
        <s v="0.21 Kgs"/>
        <s v="0.02 Nos"/>
        <s v="0.04 Nos"/>
        <s v="60 Kgs"/>
        <s v="103.6 Kgs"/>
        <s v="1.77 Nos"/>
        <s v="123 Kgs"/>
        <s v="664.78 Kgs"/>
        <s v="35.5 Sqm"/>
        <s v="0.2 Nos"/>
        <s v="38.4 Kgs"/>
        <s v="350.72 Kgs"/>
        <s v="173 Kgs"/>
        <s v="2385 Kgs"/>
        <s v="148457 Kgs"/>
        <s v="31 Kgs"/>
        <s v="7134 Ltr"/>
        <s v="3.14 Kgs"/>
        <s v="801.36 Kgs"/>
        <s v="0.05 Kgs"/>
        <s v="1.45 Kgs"/>
        <s v="7.01 Kgs"/>
        <s v="81.57 Kgs"/>
        <s v=" Kgs"/>
        <s v="14.78 Kgs"/>
        <s v="0.4 Sqm"/>
        <s v="1.23 Kgs"/>
        <s v="16.6 Kgs"/>
        <s v="1.95 Nos"/>
        <s v="71 Kgs"/>
        <s v="4.58 Sqm"/>
        <s v="0.18 Kgs"/>
        <s v="1.46 Nos"/>
        <s v="6.6 Kgs"/>
        <s v="15.11 Kgs"/>
        <s v="0.2 Kgs"/>
        <s v="138.74 Kgs"/>
        <s v="1.03 Nos"/>
        <s v="10.3 Kgs"/>
        <s v="50 Kgs"/>
        <s v="1.95 Kgs"/>
        <s v="3827 Kgs"/>
        <s v="3 Nos"/>
        <s v="510 Kgs"/>
        <s v="672 Nos"/>
        <s v="32720 Kgs"/>
        <s v="85 Nos"/>
        <s v="4 Nos"/>
        <s v="179 Kgs"/>
        <s v="76 Kgs"/>
        <s v="3.82 Nos"/>
        <s v="32.12 Kgs"/>
        <s v="2.72 Nos"/>
        <s v="0.22 Nos"/>
        <s v="0.7 Nos"/>
        <s v="2.34 Kgs"/>
        <s v="265.82 Kgs"/>
        <s v="0.6 Nos"/>
        <s v="0.71 Kgs"/>
        <s v="3.53 Sqm"/>
        <s v="0.64 Nos"/>
        <s v="0.8 Kgs"/>
        <s v="483.77 Nos"/>
        <s v="22.69 Kgs"/>
        <s v="6.43 Prs"/>
        <s v="0.67 Nos"/>
        <s v="146.5 Kgs"/>
        <s v="37084 Kgs"/>
        <s v="116 Kgs"/>
        <s v="17 Nos"/>
        <s v="3710 Kgs"/>
        <s v="4273 Kgs"/>
        <s v="42 Kgs"/>
        <s v="18094 Kgs"/>
        <s v="892 Kgs"/>
        <s v="35.81 Nos"/>
        <s v="61.05 Nos"/>
        <s v="26.45 Kgs"/>
        <s v="0.98 Kgs"/>
        <s v="0.12 Kgs"/>
        <s v="0.61 Sqm"/>
        <s v="60.02 Nos"/>
        <s v="144.03 Kgs"/>
        <s v="0.92 Kgs"/>
        <s v="257.69 Kgs"/>
        <s v="39.35 Kgs"/>
        <s v="53.18 Kgs"/>
        <s v="0.6 Kgs"/>
        <s v="144.14 Kgs"/>
        <s v="14.89 Nos"/>
        <s v="30.51 Kgs"/>
        <s v="1.59 Nos"/>
        <s v="11715 Kgs"/>
        <s v="220 Nos"/>
        <s v="800 Nos"/>
        <s v="2000 Kgs"/>
        <s v="130 Nos"/>
        <s v="314 Nos"/>
        <s v="268 Kgs"/>
        <s v="11 Nos"/>
        <s v="567 Kgs"/>
        <s v="3630 Kgs"/>
        <s v="7800 Kgs"/>
        <s v="0.67 Kgs"/>
        <s v="185.2 Nos"/>
        <s v=" Sqm"/>
        <s v="22 Nos"/>
        <s v="0.79 Kgs"/>
        <s v="0.33 Nos"/>
        <s v="0.41 Ctm"/>
        <s v="0.36 Kgs"/>
        <s v="3.32 Nos"/>
        <s v="0.07 Kgs"/>
        <s v="209.4 Nos"/>
        <s v="35.8 Nos"/>
        <s v="2.8 Kgs"/>
        <s v="25.92 Kgs"/>
        <s v="0.34 Kgs"/>
        <s v="41.62 Kgs"/>
        <s v="0.4 Nos"/>
        <s v="25.57 Nos"/>
        <s v="1.65 Nos"/>
        <s v="4.98 Kgs"/>
        <s v="656.68 Nos"/>
        <s v="0.09 Mtr"/>
        <s v="4.3 Kgs"/>
        <s v="5.43 Nos"/>
        <s v="4.29 Kgs"/>
        <s v="4.11 Sqm"/>
        <s v="44.39 Kgs"/>
        <s v="14555 Kgs"/>
        <s v="4896 Kgs"/>
        <s v="12 Sqm"/>
        <s v="136206 Kgs"/>
        <s v="100 Nos"/>
        <s v="248 Kgs"/>
        <s v="6 Nos"/>
        <s v="57 Kgs"/>
        <s v="2 Kgs"/>
        <s v="124000 Kgs"/>
        <s v="500 Kgs"/>
        <s v="870 Nos"/>
        <s v="508 Kgs"/>
        <s v="18608 Kgs"/>
        <s v="10461 Kgs"/>
        <s v="7865 Nos"/>
        <s v="1998 Kgs"/>
        <s v="1.07 Kgs"/>
        <s v="30.97 Kgs"/>
        <s v="0.86 Kgs"/>
        <s v="6.96 Kgs"/>
        <s v="1.71 Nos"/>
        <s v="43.47 Kgs"/>
        <s v="5.88 Nos"/>
        <s v="8.44 Kgs"/>
        <s v="17.72 Kgs"/>
        <s v="54.75 Kgs"/>
        <s v="55 Kgs"/>
        <s v="1.14 Kgs"/>
        <s v="0.22 Kgs"/>
        <s v="0.07 Prs"/>
        <s v="0.11 Sqm"/>
        <s v="0.02 Sqm"/>
        <s v=" None"/>
        <s v="8.42 Nos"/>
        <s v="28.61 Kgs"/>
        <s v="6 Kgs"/>
        <s v="14.19 Sqm"/>
        <s v="98.56 Nos"/>
        <s v="0.11 Kgs"/>
        <s v="50.22 Kgs"/>
        <s v="104.3 Prs"/>
        <s v="6.75 Kgs"/>
        <s v="14.62 Kgs"/>
        <s v="9.24 Kgs"/>
        <s v="8.16 Nos"/>
        <s v="42.7 Kgs"/>
        <s v="351 Nos"/>
        <s v="7629 Kgs"/>
        <s v="1002 Nos"/>
        <s v="218 Nos"/>
        <s v="9 Nos"/>
        <s v="2792 Kgs"/>
        <s v="127955 Kgs"/>
        <s v="1193 Nos"/>
        <s v="74 Kgs"/>
        <s v="2.16 Kgs"/>
        <s v="23.42 Sqm"/>
        <s v="45 Kgs"/>
        <s v="9.38 Nos"/>
        <s v="0.48 Mtr"/>
        <s v="2.59 Nos"/>
        <s v="3.09 Kgs"/>
        <s v="9.84 Kgs"/>
        <s v="3 Kgs"/>
        <s v="61.42 Kgs"/>
        <s v="33.92 Nos"/>
        <s v="542 Nos"/>
        <s v="1.82 Kgs"/>
        <s v="17.9 Kgs"/>
        <s v="0.35 Kgs"/>
        <s v="10 Nos"/>
        <s v="66 Kgs"/>
        <s v="8.54 Kgs"/>
        <s v="167.58 Kgs"/>
        <s v="0.4 Kgs"/>
        <s v="24.1 Kgs"/>
        <s v="4 Kgs"/>
        <s v="3.38 Kgs"/>
        <s v="1012.14 Kgs"/>
        <s v="0.17 Kgs"/>
        <s v="0.27 Kgs"/>
        <s v="1.16 Nos"/>
        <s v="0.5 Kgs"/>
        <s v="8839 Ctm"/>
        <s v="2424 Nos"/>
        <s v="115 Kgs"/>
        <s v="4975 Kgs"/>
        <s v="1925 Kgs"/>
        <s v="789 Kgs"/>
        <s v="6426 Kgs"/>
        <s v="283 Nos"/>
        <s v="2.28 Kgs"/>
        <s v="78.5 Kgs"/>
        <s v="2.56 Sqm"/>
        <s v="57.42 Kgs"/>
        <s v="5.49 Nos"/>
        <s v="133.04 Nos"/>
        <s v="7.33 Kgs"/>
        <s v="158.39 Nos"/>
        <s v="0.72 Kgs"/>
        <s v="2.2 Kgs"/>
        <s v="116.82 Nos"/>
        <s v="34.5 Kgs"/>
        <s v="3.52 Kgs"/>
        <s v="4810 Kgs"/>
        <s v="19.74 Sqm"/>
        <s v="8 Kgs"/>
        <s v="1.19 Kgs"/>
        <s v="646 Kgs"/>
        <s v="18.5 Kgs"/>
        <s v="4.28 Nos"/>
        <s v="0.9 Kgs"/>
        <s v="22.94 Prs"/>
        <s v="12078 Kgs"/>
        <s v="3059 Kgs"/>
        <s v="211 Sqm"/>
        <s v="2100 Kgs"/>
        <s v="0.63 Prs"/>
        <s v="0.18 Nos"/>
        <s v="95.34 Nos"/>
        <s v="25.58 Kgs"/>
        <s v="1.63 Nos"/>
        <s v="0.89 Kgs"/>
        <s v="12.53 Kgs"/>
        <s v="0 Prs"/>
        <s v="1994.02 Kgs"/>
        <s v="12.31 Kgs"/>
        <s v="138.2 Kgs"/>
        <s v="0.08 Nos"/>
        <s v="5.08 Kgs"/>
        <s v="5.66 Kgs"/>
        <s v="31.24 Kgs"/>
        <s v="277 Kgs"/>
        <s v="0.45 Sqm"/>
        <s v="1.55 Nos"/>
        <s v="4.71 Nos"/>
        <s v="0.78 Kgs"/>
        <s v="12 Kgs"/>
        <s v="17.9 Sqm"/>
        <s v="9.6 Kgs"/>
        <s v="38 Nos"/>
        <s v="17 Kgs"/>
        <s v="1732 Nos"/>
        <s v="6012 Nos"/>
        <s v="0.65 Kgs"/>
        <s v="1.01 Nos"/>
        <s v="2.5 Kgs"/>
        <s v="0.16 Ctm"/>
        <s v="2.83 Kgs"/>
        <s v="0.45 Kgs"/>
        <s v="8.8 Kgs"/>
        <s v="1.5 Kgs"/>
        <s v="10.48 Kgs"/>
        <s v="84.16 Kgs"/>
        <s v="161.07 Kgs"/>
        <s v="2.68 Nos"/>
        <s v="5 Kgs"/>
        <s v="1.09 Nos"/>
        <s v="591.18 Nos"/>
        <s v="0.91 Nos"/>
        <s v="96.39 Kg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x v="0"/>
    <x v="0"/>
  </r>
  <r>
    <x v="0"/>
    <x v="1"/>
  </r>
  <r>
    <x v="0"/>
    <x v="2"/>
  </r>
  <r>
    <x v="0"/>
    <x v="3"/>
  </r>
  <r>
    <x v="0"/>
    <x v="4"/>
  </r>
  <r>
    <x v="0"/>
    <x v="5"/>
  </r>
  <r>
    <x v="0"/>
    <x v="6"/>
  </r>
  <r>
    <x v="0"/>
    <x v="7"/>
  </r>
  <r>
    <x v="0"/>
    <x v="8"/>
  </r>
  <r>
    <x v="0"/>
    <x v="9"/>
  </r>
  <r>
    <x v="1"/>
    <x v="10"/>
  </r>
  <r>
    <x v="1"/>
    <x v="11"/>
  </r>
  <r>
    <x v="1"/>
    <x v="12"/>
  </r>
  <r>
    <x v="2"/>
    <x v="13"/>
  </r>
  <r>
    <x v="2"/>
    <x v="14"/>
  </r>
  <r>
    <x v="2"/>
    <x v="15"/>
  </r>
  <r>
    <x v="3"/>
    <x v="16"/>
  </r>
  <r>
    <x v="3"/>
    <x v="17"/>
  </r>
  <r>
    <x v="3"/>
    <x v="18"/>
  </r>
  <r>
    <x v="3"/>
    <x v="19"/>
  </r>
  <r>
    <x v="3"/>
    <x v="20"/>
  </r>
  <r>
    <x v="4"/>
    <x v="21"/>
  </r>
  <r>
    <x v="4"/>
    <x v="22"/>
  </r>
  <r>
    <x v="4"/>
    <x v="23"/>
  </r>
  <r>
    <x v="5"/>
    <x v="24"/>
  </r>
  <r>
    <x v="5"/>
    <x v="25"/>
  </r>
  <r>
    <x v="5"/>
    <x v="26"/>
  </r>
  <r>
    <x v="6"/>
    <x v="27"/>
  </r>
  <r>
    <x v="6"/>
    <x v="28"/>
  </r>
  <r>
    <x v="7"/>
    <x v="18"/>
  </r>
  <r>
    <x v="7"/>
    <x v="21"/>
  </r>
  <r>
    <x v="7"/>
    <x v="29"/>
  </r>
  <r>
    <x v="7"/>
    <x v="18"/>
  </r>
  <r>
    <x v="7"/>
    <x v="30"/>
  </r>
  <r>
    <x v="8"/>
    <x v="31"/>
  </r>
  <r>
    <x v="8"/>
    <x v="32"/>
  </r>
  <r>
    <x v="8"/>
    <x v="33"/>
  </r>
  <r>
    <x v="8"/>
    <x v="6"/>
  </r>
  <r>
    <x v="8"/>
    <x v="34"/>
  </r>
  <r>
    <x v="8"/>
    <x v="35"/>
  </r>
  <r>
    <x v="8"/>
    <x v="36"/>
  </r>
  <r>
    <x v="8"/>
    <x v="37"/>
  </r>
  <r>
    <x v="8"/>
    <x v="38"/>
  </r>
  <r>
    <x v="8"/>
    <x v="39"/>
  </r>
  <r>
    <x v="9"/>
    <x v="40"/>
  </r>
  <r>
    <x v="9"/>
    <x v="41"/>
  </r>
  <r>
    <x v="9"/>
    <x v="42"/>
  </r>
  <r>
    <x v="9"/>
    <x v="43"/>
  </r>
  <r>
    <x v="9"/>
    <x v="44"/>
  </r>
  <r>
    <x v="9"/>
    <x v="45"/>
  </r>
  <r>
    <x v="10"/>
    <x v="46"/>
  </r>
  <r>
    <x v="10"/>
    <x v="47"/>
  </r>
  <r>
    <x v="10"/>
    <x v="48"/>
  </r>
  <r>
    <x v="10"/>
    <x v="49"/>
  </r>
  <r>
    <x v="11"/>
    <x v="50"/>
  </r>
  <r>
    <x v="11"/>
    <x v="51"/>
  </r>
  <r>
    <x v="11"/>
    <x v="52"/>
  </r>
  <r>
    <x v="11"/>
    <x v="53"/>
  </r>
  <r>
    <x v="11"/>
    <x v="54"/>
  </r>
  <r>
    <x v="11"/>
    <x v="51"/>
  </r>
  <r>
    <x v="11"/>
    <x v="55"/>
  </r>
  <r>
    <x v="11"/>
    <x v="55"/>
  </r>
  <r>
    <x v="11"/>
    <x v="22"/>
  </r>
  <r>
    <x v="11"/>
    <x v="56"/>
  </r>
  <r>
    <x v="12"/>
    <x v="57"/>
  </r>
  <r>
    <x v="12"/>
    <x v="58"/>
  </r>
  <r>
    <x v="12"/>
    <x v="58"/>
  </r>
  <r>
    <x v="12"/>
    <x v="59"/>
  </r>
  <r>
    <x v="12"/>
    <x v="18"/>
  </r>
  <r>
    <x v="12"/>
    <x v="60"/>
  </r>
  <r>
    <x v="13"/>
    <x v="61"/>
  </r>
  <r>
    <x v="13"/>
    <x v="62"/>
  </r>
  <r>
    <x v="13"/>
    <x v="56"/>
  </r>
  <r>
    <x v="14"/>
    <x v="63"/>
  </r>
  <r>
    <x v="14"/>
    <x v="64"/>
  </r>
  <r>
    <x v="14"/>
    <x v="65"/>
  </r>
  <r>
    <x v="15"/>
    <x v="66"/>
  </r>
  <r>
    <x v="15"/>
    <x v="67"/>
  </r>
  <r>
    <x v="15"/>
    <x v="68"/>
  </r>
  <r>
    <x v="15"/>
    <x v="69"/>
  </r>
  <r>
    <x v="15"/>
    <x v="70"/>
  </r>
  <r>
    <x v="15"/>
    <x v="58"/>
  </r>
  <r>
    <x v="16"/>
    <x v="6"/>
  </r>
  <r>
    <x v="16"/>
    <x v="71"/>
  </r>
  <r>
    <x v="16"/>
    <x v="72"/>
  </r>
  <r>
    <x v="16"/>
    <x v="39"/>
  </r>
  <r>
    <x v="16"/>
    <x v="73"/>
  </r>
  <r>
    <x v="17"/>
    <x v="74"/>
  </r>
  <r>
    <x v="17"/>
    <x v="75"/>
  </r>
  <r>
    <x v="17"/>
    <x v="76"/>
  </r>
  <r>
    <x v="17"/>
    <x v="77"/>
  </r>
  <r>
    <x v="18"/>
    <x v="78"/>
  </r>
  <r>
    <x v="18"/>
    <x v="79"/>
  </r>
  <r>
    <x v="18"/>
    <x v="80"/>
  </r>
  <r>
    <x v="18"/>
    <x v="81"/>
  </r>
  <r>
    <x v="19"/>
    <x v="82"/>
  </r>
  <r>
    <x v="19"/>
    <x v="31"/>
  </r>
  <r>
    <x v="19"/>
    <x v="83"/>
  </r>
  <r>
    <x v="19"/>
    <x v="58"/>
  </r>
  <r>
    <x v="19"/>
    <x v="44"/>
  </r>
  <r>
    <x v="19"/>
    <x v="84"/>
  </r>
  <r>
    <x v="20"/>
    <x v="85"/>
  </r>
  <r>
    <x v="20"/>
    <x v="86"/>
  </r>
  <r>
    <x v="20"/>
    <x v="87"/>
  </r>
  <r>
    <x v="20"/>
    <x v="88"/>
  </r>
  <r>
    <x v="20"/>
    <x v="89"/>
  </r>
  <r>
    <x v="20"/>
    <x v="46"/>
  </r>
  <r>
    <x v="20"/>
    <x v="90"/>
  </r>
  <r>
    <x v="21"/>
    <x v="91"/>
  </r>
  <r>
    <x v="21"/>
    <x v="92"/>
  </r>
  <r>
    <x v="21"/>
    <x v="93"/>
  </r>
  <r>
    <x v="21"/>
    <x v="94"/>
  </r>
  <r>
    <x v="21"/>
    <x v="93"/>
  </r>
  <r>
    <x v="21"/>
    <x v="95"/>
  </r>
  <r>
    <x v="21"/>
    <x v="96"/>
  </r>
  <r>
    <x v="21"/>
    <x v="97"/>
  </r>
  <r>
    <x v="22"/>
    <x v="98"/>
  </r>
  <r>
    <x v="22"/>
    <x v="99"/>
  </r>
  <r>
    <x v="22"/>
    <x v="100"/>
  </r>
  <r>
    <x v="22"/>
    <x v="101"/>
  </r>
  <r>
    <x v="22"/>
    <x v="102"/>
  </r>
  <r>
    <x v="22"/>
    <x v="103"/>
  </r>
  <r>
    <x v="22"/>
    <x v="104"/>
  </r>
  <r>
    <x v="23"/>
    <x v="105"/>
  </r>
  <r>
    <x v="23"/>
    <x v="106"/>
  </r>
  <r>
    <x v="23"/>
    <x v="107"/>
  </r>
  <r>
    <x v="23"/>
    <x v="108"/>
  </r>
  <r>
    <x v="23"/>
    <x v="109"/>
  </r>
  <r>
    <x v="23"/>
    <x v="110"/>
  </r>
  <r>
    <x v="24"/>
    <x v="38"/>
  </r>
  <r>
    <x v="24"/>
    <x v="111"/>
  </r>
  <r>
    <x v="24"/>
    <x v="112"/>
  </r>
  <r>
    <x v="24"/>
    <x v="0"/>
  </r>
  <r>
    <x v="24"/>
    <x v="113"/>
  </r>
  <r>
    <x v="24"/>
    <x v="114"/>
  </r>
  <r>
    <x v="24"/>
    <x v="115"/>
  </r>
  <r>
    <x v="25"/>
    <x v="116"/>
  </r>
  <r>
    <x v="25"/>
    <x v="58"/>
  </r>
  <r>
    <x v="26"/>
    <x v="117"/>
  </r>
  <r>
    <x v="26"/>
    <x v="41"/>
  </r>
  <r>
    <x v="26"/>
    <x v="118"/>
  </r>
  <r>
    <x v="26"/>
    <x v="119"/>
  </r>
  <r>
    <x v="26"/>
    <x v="95"/>
  </r>
  <r>
    <x v="26"/>
    <x v="120"/>
  </r>
  <r>
    <x v="27"/>
    <x v="121"/>
  </r>
  <r>
    <x v="27"/>
    <x v="122"/>
  </r>
  <r>
    <x v="27"/>
    <x v="123"/>
  </r>
  <r>
    <x v="27"/>
    <x v="124"/>
  </r>
  <r>
    <x v="27"/>
    <x v="40"/>
  </r>
  <r>
    <x v="27"/>
    <x v="95"/>
  </r>
  <r>
    <x v="27"/>
    <x v="6"/>
  </r>
  <r>
    <x v="28"/>
    <x v="125"/>
  </r>
  <r>
    <x v="28"/>
    <x v="126"/>
  </r>
  <r>
    <x v="28"/>
    <x v="127"/>
  </r>
  <r>
    <x v="29"/>
    <x v="128"/>
  </r>
  <r>
    <x v="29"/>
    <x v="21"/>
  </r>
  <r>
    <x v="29"/>
    <x v="129"/>
  </r>
  <r>
    <x v="29"/>
    <x v="130"/>
  </r>
  <r>
    <x v="29"/>
    <x v="131"/>
  </r>
  <r>
    <x v="30"/>
    <x v="6"/>
  </r>
  <r>
    <x v="30"/>
    <x v="132"/>
  </r>
  <r>
    <x v="30"/>
    <x v="99"/>
  </r>
  <r>
    <x v="30"/>
    <x v="133"/>
  </r>
  <r>
    <x v="30"/>
    <x v="134"/>
  </r>
  <r>
    <x v="31"/>
    <x v="135"/>
  </r>
  <r>
    <x v="31"/>
    <x v="136"/>
  </r>
  <r>
    <x v="31"/>
    <x v="137"/>
  </r>
  <r>
    <x v="31"/>
    <x v="138"/>
  </r>
  <r>
    <x v="31"/>
    <x v="139"/>
  </r>
  <r>
    <x v="32"/>
    <x v="140"/>
  </r>
  <r>
    <x v="32"/>
    <x v="141"/>
  </r>
  <r>
    <x v="32"/>
    <x v="142"/>
  </r>
  <r>
    <x v="32"/>
    <x v="143"/>
  </r>
  <r>
    <x v="32"/>
    <x v="144"/>
  </r>
  <r>
    <x v="32"/>
    <x v="145"/>
  </r>
  <r>
    <x v="32"/>
    <x v="146"/>
  </r>
  <r>
    <x v="32"/>
    <x v="147"/>
  </r>
  <r>
    <x v="32"/>
    <x v="148"/>
  </r>
  <r>
    <x v="33"/>
    <x v="149"/>
  </r>
  <r>
    <x v="33"/>
    <x v="122"/>
  </r>
  <r>
    <x v="33"/>
    <x v="55"/>
  </r>
  <r>
    <x v="33"/>
    <x v="150"/>
  </r>
  <r>
    <x v="33"/>
    <x v="151"/>
  </r>
  <r>
    <x v="33"/>
    <x v="152"/>
  </r>
  <r>
    <x v="34"/>
    <x v="153"/>
  </r>
  <r>
    <x v="34"/>
    <x v="134"/>
  </r>
  <r>
    <x v="34"/>
    <x v="51"/>
  </r>
  <r>
    <x v="34"/>
    <x v="154"/>
  </r>
  <r>
    <x v="35"/>
    <x v="55"/>
  </r>
  <r>
    <x v="35"/>
    <x v="55"/>
  </r>
  <r>
    <x v="35"/>
    <x v="18"/>
  </r>
  <r>
    <x v="35"/>
    <x v="155"/>
  </r>
  <r>
    <x v="35"/>
    <x v="95"/>
  </r>
  <r>
    <x v="35"/>
    <x v="156"/>
  </r>
  <r>
    <x v="36"/>
    <x v="157"/>
  </r>
  <r>
    <x v="36"/>
    <x v="158"/>
  </r>
  <r>
    <x v="36"/>
    <x v="93"/>
  </r>
  <r>
    <x v="36"/>
    <x v="159"/>
  </r>
  <r>
    <x v="37"/>
    <x v="160"/>
  </r>
  <r>
    <x v="37"/>
    <x v="161"/>
  </r>
  <r>
    <x v="38"/>
    <x v="162"/>
  </r>
  <r>
    <x v="38"/>
    <x v="160"/>
  </r>
  <r>
    <x v="39"/>
    <x v="46"/>
  </r>
  <r>
    <x v="39"/>
    <x v="163"/>
  </r>
  <r>
    <x v="39"/>
    <x v="164"/>
  </r>
  <r>
    <x v="39"/>
    <x v="165"/>
  </r>
  <r>
    <x v="40"/>
    <x v="166"/>
  </r>
  <r>
    <x v="40"/>
    <x v="0"/>
  </r>
  <r>
    <x v="40"/>
    <x v="167"/>
  </r>
  <r>
    <x v="40"/>
    <x v="168"/>
  </r>
  <r>
    <x v="40"/>
    <x v="169"/>
  </r>
  <r>
    <x v="41"/>
    <x v="170"/>
  </r>
  <r>
    <x v="41"/>
    <x v="87"/>
  </r>
  <r>
    <x v="41"/>
    <x v="171"/>
  </r>
  <r>
    <x v="41"/>
    <x v="172"/>
  </r>
  <r>
    <x v="41"/>
    <x v="6"/>
  </r>
  <r>
    <x v="41"/>
    <x v="173"/>
  </r>
  <r>
    <x v="42"/>
    <x v="95"/>
  </r>
  <r>
    <x v="42"/>
    <x v="156"/>
  </r>
  <r>
    <x v="42"/>
    <x v="93"/>
  </r>
  <r>
    <x v="42"/>
    <x v="174"/>
  </r>
  <r>
    <x v="42"/>
    <x v="16"/>
  </r>
  <r>
    <x v="42"/>
    <x v="175"/>
  </r>
  <r>
    <x v="43"/>
    <x v="138"/>
  </r>
  <r>
    <x v="43"/>
    <x v="176"/>
  </r>
  <r>
    <x v="43"/>
    <x v="55"/>
  </r>
  <r>
    <x v="43"/>
    <x v="18"/>
  </r>
  <r>
    <x v="44"/>
    <x v="177"/>
  </r>
  <r>
    <x v="44"/>
    <x v="178"/>
  </r>
  <r>
    <x v="44"/>
    <x v="179"/>
  </r>
  <r>
    <x v="44"/>
    <x v="180"/>
  </r>
  <r>
    <x v="44"/>
    <x v="181"/>
  </r>
  <r>
    <x v="45"/>
    <x v="182"/>
  </r>
  <r>
    <x v="45"/>
    <x v="55"/>
  </r>
  <r>
    <x v="45"/>
    <x v="183"/>
  </r>
  <r>
    <x v="45"/>
    <x v="184"/>
  </r>
  <r>
    <x v="45"/>
    <x v="185"/>
  </r>
  <r>
    <x v="46"/>
    <x v="186"/>
  </r>
  <r>
    <x v="46"/>
    <x v="44"/>
  </r>
  <r>
    <x v="46"/>
    <x v="187"/>
  </r>
  <r>
    <x v="47"/>
    <x v="188"/>
  </r>
  <r>
    <x v="47"/>
    <x v="189"/>
  </r>
  <r>
    <x v="47"/>
    <x v="58"/>
  </r>
  <r>
    <x v="47"/>
    <x v="58"/>
  </r>
  <r>
    <x v="48"/>
    <x v="190"/>
  </r>
  <r>
    <x v="48"/>
    <x v="18"/>
  </r>
  <r>
    <x v="48"/>
    <x v="40"/>
  </r>
  <r>
    <x v="49"/>
    <x v="191"/>
  </r>
  <r>
    <x v="49"/>
    <x v="192"/>
  </r>
  <r>
    <x v="49"/>
    <x v="193"/>
  </r>
  <r>
    <x v="49"/>
    <x v="194"/>
  </r>
  <r>
    <x v="49"/>
    <x v="195"/>
  </r>
  <r>
    <x v="49"/>
    <x v="196"/>
  </r>
  <r>
    <x v="49"/>
    <x v="197"/>
  </r>
  <r>
    <x v="49"/>
    <x v="198"/>
  </r>
  <r>
    <x v="49"/>
    <x v="199"/>
  </r>
  <r>
    <x v="50"/>
    <x v="200"/>
  </r>
  <r>
    <x v="50"/>
    <x v="201"/>
  </r>
  <r>
    <x v="51"/>
    <x v="202"/>
  </r>
  <r>
    <x v="51"/>
    <x v="18"/>
  </r>
  <r>
    <x v="51"/>
    <x v="93"/>
  </r>
  <r>
    <x v="51"/>
    <x v="203"/>
  </r>
  <r>
    <x v="52"/>
    <x v="204"/>
  </r>
  <r>
    <x v="52"/>
    <x v="95"/>
  </r>
  <r>
    <x v="52"/>
    <x v="205"/>
  </r>
  <r>
    <x v="52"/>
    <x v="206"/>
  </r>
  <r>
    <x v="52"/>
    <x v="207"/>
  </r>
  <r>
    <x v="52"/>
    <x v="208"/>
  </r>
  <r>
    <x v="52"/>
    <x v="209"/>
  </r>
  <r>
    <x v="52"/>
    <x v="210"/>
  </r>
  <r>
    <x v="53"/>
    <x v="211"/>
  </r>
  <r>
    <x v="53"/>
    <x v="55"/>
  </r>
  <r>
    <x v="53"/>
    <x v="95"/>
  </r>
  <r>
    <x v="53"/>
    <x v="212"/>
  </r>
  <r>
    <x v="53"/>
    <x v="213"/>
  </r>
  <r>
    <x v="54"/>
    <x v="214"/>
  </r>
  <r>
    <x v="54"/>
    <x v="215"/>
  </r>
  <r>
    <x v="54"/>
    <x v="216"/>
  </r>
  <r>
    <x v="54"/>
    <x v="217"/>
  </r>
  <r>
    <x v="54"/>
    <x v="218"/>
  </r>
  <r>
    <x v="54"/>
    <x v="219"/>
  </r>
  <r>
    <x v="54"/>
    <x v="58"/>
  </r>
  <r>
    <x v="55"/>
    <x v="220"/>
  </r>
  <r>
    <x v="55"/>
    <x v="93"/>
  </r>
  <r>
    <x v="55"/>
    <x v="221"/>
  </r>
  <r>
    <x v="56"/>
    <x v="25"/>
  </r>
  <r>
    <x v="56"/>
    <x v="222"/>
  </r>
  <r>
    <x v="56"/>
    <x v="223"/>
  </r>
  <r>
    <x v="56"/>
    <x v="224"/>
  </r>
  <r>
    <x v="56"/>
    <x v="225"/>
  </r>
  <r>
    <x v="57"/>
    <x v="226"/>
  </r>
  <r>
    <x v="57"/>
    <x v="227"/>
  </r>
  <r>
    <x v="57"/>
    <x v="18"/>
  </r>
  <r>
    <x v="57"/>
    <x v="228"/>
  </r>
  <r>
    <x v="58"/>
    <x v="229"/>
  </r>
  <r>
    <x v="58"/>
    <x v="38"/>
  </r>
  <r>
    <x v="58"/>
    <x v="230"/>
  </r>
  <r>
    <x v="58"/>
    <x v="231"/>
  </r>
  <r>
    <x v="58"/>
    <x v="232"/>
  </r>
  <r>
    <x v="58"/>
    <x v="233"/>
  </r>
  <r>
    <x v="59"/>
    <x v="234"/>
  </r>
  <r>
    <x v="59"/>
    <x v="235"/>
  </r>
  <r>
    <x v="59"/>
    <x v="236"/>
  </r>
  <r>
    <x v="59"/>
    <x v="237"/>
  </r>
  <r>
    <x v="59"/>
    <x v="238"/>
  </r>
  <r>
    <x v="59"/>
    <x v="239"/>
  </r>
  <r>
    <x v="59"/>
    <x v="240"/>
  </r>
  <r>
    <x v="59"/>
    <x v="241"/>
  </r>
  <r>
    <x v="59"/>
    <x v="242"/>
  </r>
  <r>
    <x v="59"/>
    <x v="34"/>
  </r>
  <r>
    <x v="59"/>
    <x v="243"/>
  </r>
  <r>
    <x v="59"/>
    <x v="244"/>
  </r>
  <r>
    <x v="60"/>
    <x v="245"/>
  </r>
  <r>
    <x v="60"/>
    <x v="130"/>
  </r>
  <r>
    <x v="60"/>
    <x v="246"/>
  </r>
  <r>
    <x v="60"/>
    <x v="54"/>
  </r>
  <r>
    <x v="60"/>
    <x v="247"/>
  </r>
  <r>
    <x v="60"/>
    <x v="62"/>
  </r>
  <r>
    <x v="60"/>
    <x v="248"/>
  </r>
  <r>
    <x v="60"/>
    <x v="249"/>
  </r>
  <r>
    <x v="60"/>
    <x v="250"/>
  </r>
  <r>
    <x v="60"/>
    <x v="251"/>
  </r>
  <r>
    <x v="61"/>
    <x v="252"/>
  </r>
  <r>
    <x v="61"/>
    <x v="102"/>
  </r>
  <r>
    <x v="61"/>
    <x v="253"/>
  </r>
  <r>
    <x v="61"/>
    <x v="254"/>
  </r>
  <r>
    <x v="61"/>
    <x v="255"/>
  </r>
  <r>
    <x v="62"/>
    <x v="256"/>
  </r>
  <r>
    <x v="62"/>
    <x v="257"/>
  </r>
  <r>
    <x v="62"/>
    <x v="258"/>
  </r>
  <r>
    <x v="62"/>
    <x v="25"/>
  </r>
  <r>
    <x v="62"/>
    <x v="259"/>
  </r>
  <r>
    <x v="63"/>
    <x v="55"/>
  </r>
  <r>
    <x v="63"/>
    <x v="260"/>
  </r>
  <r>
    <x v="63"/>
    <x v="261"/>
  </r>
  <r>
    <x v="63"/>
    <x v="262"/>
  </r>
  <r>
    <x v="63"/>
    <x v="263"/>
  </r>
  <r>
    <x v="63"/>
    <x v="264"/>
  </r>
  <r>
    <x v="64"/>
    <x v="265"/>
  </r>
  <r>
    <x v="64"/>
    <x v="266"/>
  </r>
  <r>
    <x v="64"/>
    <x v="267"/>
  </r>
  <r>
    <x v="64"/>
    <x v="58"/>
  </r>
  <r>
    <x v="64"/>
    <x v="268"/>
  </r>
  <r>
    <x v="64"/>
    <x v="269"/>
  </r>
  <r>
    <x v="65"/>
    <x v="270"/>
  </r>
  <r>
    <x v="65"/>
    <x v="271"/>
  </r>
  <r>
    <x v="66"/>
    <x v="272"/>
  </r>
  <r>
    <x v="66"/>
    <x v="273"/>
  </r>
  <r>
    <x v="66"/>
    <x v="118"/>
  </r>
  <r>
    <x v="66"/>
    <x v="274"/>
  </r>
  <r>
    <x v="66"/>
    <x v="275"/>
  </r>
  <r>
    <x v="67"/>
    <x v="276"/>
  </r>
  <r>
    <x v="67"/>
    <x v="277"/>
  </r>
  <r>
    <x v="67"/>
    <x v="278"/>
  </r>
  <r>
    <x v="67"/>
    <x v="279"/>
  </r>
  <r>
    <x v="67"/>
    <x v="280"/>
  </r>
  <r>
    <x v="67"/>
    <x v="36"/>
  </r>
  <r>
    <x v="68"/>
    <x v="281"/>
  </r>
  <r>
    <x v="68"/>
    <x v="282"/>
  </r>
  <r>
    <x v="68"/>
    <x v="283"/>
  </r>
  <r>
    <x v="68"/>
    <x v="284"/>
  </r>
  <r>
    <x v="69"/>
    <x v="285"/>
  </r>
  <r>
    <x v="69"/>
    <x v="286"/>
  </r>
  <r>
    <x v="69"/>
    <x v="287"/>
  </r>
  <r>
    <x v="69"/>
    <x v="288"/>
  </r>
  <r>
    <x v="69"/>
    <x v="118"/>
  </r>
  <r>
    <x v="69"/>
    <x v="289"/>
  </r>
  <r>
    <x v="69"/>
    <x v="290"/>
  </r>
  <r>
    <x v="69"/>
    <x v="291"/>
  </r>
  <r>
    <x v="70"/>
    <x v="292"/>
  </r>
  <r>
    <x v="70"/>
    <x v="293"/>
  </r>
  <r>
    <x v="71"/>
    <x v="95"/>
  </r>
  <r>
    <x v="71"/>
    <x v="294"/>
  </r>
  <r>
    <x v="71"/>
    <x v="295"/>
  </r>
  <r>
    <x v="71"/>
    <x v="296"/>
  </r>
  <r>
    <x v="72"/>
    <x v="297"/>
  </r>
  <r>
    <x v="72"/>
    <x v="298"/>
  </r>
  <r>
    <x v="72"/>
    <x v="299"/>
  </r>
  <r>
    <x v="72"/>
    <x v="55"/>
  </r>
  <r>
    <x v="73"/>
    <x v="300"/>
  </r>
  <r>
    <x v="73"/>
    <x v="93"/>
  </r>
  <r>
    <x v="73"/>
    <x v="301"/>
  </r>
  <r>
    <x v="73"/>
    <x v="177"/>
  </r>
  <r>
    <x v="73"/>
    <x v="302"/>
  </r>
  <r>
    <x v="73"/>
    <x v="303"/>
  </r>
  <r>
    <x v="74"/>
    <x v="304"/>
  </r>
  <r>
    <x v="74"/>
    <x v="65"/>
  </r>
  <r>
    <x v="74"/>
    <x v="305"/>
  </r>
  <r>
    <x v="74"/>
    <x v="306"/>
  </r>
  <r>
    <x v="75"/>
    <x v="307"/>
  </r>
  <r>
    <x v="75"/>
    <x v="308"/>
  </r>
  <r>
    <x v="75"/>
    <x v="309"/>
  </r>
  <r>
    <x v="75"/>
    <x v="310"/>
  </r>
  <r>
    <x v="75"/>
    <x v="311"/>
  </r>
  <r>
    <x v="75"/>
    <x v="312"/>
  </r>
  <r>
    <x v="76"/>
    <x v="313"/>
  </r>
  <r>
    <x v="76"/>
    <x v="314"/>
  </r>
  <r>
    <x v="76"/>
    <x v="102"/>
  </r>
  <r>
    <x v="76"/>
    <x v="315"/>
  </r>
  <r>
    <x v="76"/>
    <x v="316"/>
  </r>
  <r>
    <x v="76"/>
    <x v="38"/>
  </r>
  <r>
    <x v="76"/>
    <x v="317"/>
  </r>
  <r>
    <x v="76"/>
    <x v="318"/>
  </r>
  <r>
    <x v="76"/>
    <x v="319"/>
  </r>
  <r>
    <x v="76"/>
    <x v="320"/>
  </r>
  <r>
    <x v="77"/>
    <x v="321"/>
  </r>
  <r>
    <x v="77"/>
    <x v="134"/>
  </r>
  <r>
    <x v="77"/>
    <x v="322"/>
  </r>
  <r>
    <x v="77"/>
    <x v="101"/>
  </r>
  <r>
    <x v="77"/>
    <x v="323"/>
  </r>
  <r>
    <x v="78"/>
    <x v="324"/>
  </r>
  <r>
    <x v="79"/>
    <x v="325"/>
  </r>
  <r>
    <x v="79"/>
    <x v="326"/>
  </r>
  <r>
    <x v="79"/>
    <x v="327"/>
  </r>
  <r>
    <x v="79"/>
    <x v="328"/>
  </r>
  <r>
    <x v="79"/>
    <x v="58"/>
  </r>
  <r>
    <x v="79"/>
    <x v="329"/>
  </r>
  <r>
    <x v="79"/>
    <x v="18"/>
  </r>
  <r>
    <x v="80"/>
    <x v="330"/>
  </r>
  <r>
    <x v="80"/>
    <x v="331"/>
  </r>
  <r>
    <x v="80"/>
    <x v="332"/>
  </r>
  <r>
    <x v="80"/>
    <x v="333"/>
  </r>
  <r>
    <x v="80"/>
    <x v="18"/>
  </r>
  <r>
    <x v="81"/>
    <x v="334"/>
  </r>
  <r>
    <x v="81"/>
    <x v="335"/>
  </r>
  <r>
    <x v="81"/>
    <x v="336"/>
  </r>
  <r>
    <x v="81"/>
    <x v="337"/>
  </r>
  <r>
    <x v="82"/>
    <x v="100"/>
  </r>
  <r>
    <x v="82"/>
    <x v="338"/>
  </r>
  <r>
    <x v="83"/>
    <x v="339"/>
  </r>
  <r>
    <x v="83"/>
    <x v="340"/>
  </r>
  <r>
    <x v="83"/>
    <x v="341"/>
  </r>
  <r>
    <x v="83"/>
    <x v="342"/>
  </r>
  <r>
    <x v="84"/>
    <x v="343"/>
  </r>
  <r>
    <x v="84"/>
    <x v="344"/>
  </r>
  <r>
    <x v="84"/>
    <x v="345"/>
  </r>
  <r>
    <x v="84"/>
    <x v="346"/>
  </r>
  <r>
    <x v="85"/>
    <x v="347"/>
  </r>
  <r>
    <x v="85"/>
    <x v="348"/>
  </r>
  <r>
    <x v="85"/>
    <x v="237"/>
  </r>
  <r>
    <x v="86"/>
    <x v="349"/>
  </r>
  <r>
    <x v="86"/>
    <x v="350"/>
  </r>
  <r>
    <x v="86"/>
    <x v="18"/>
  </r>
  <r>
    <x v="87"/>
    <x v="351"/>
  </r>
  <r>
    <x v="87"/>
    <x v="352"/>
  </r>
  <r>
    <x v="87"/>
    <x v="353"/>
  </r>
  <r>
    <x v="87"/>
    <x v="354"/>
  </r>
  <r>
    <x v="87"/>
    <x v="355"/>
  </r>
  <r>
    <x v="87"/>
    <x v="356"/>
  </r>
  <r>
    <x v="87"/>
    <x v="93"/>
  </r>
  <r>
    <x v="88"/>
    <x v="357"/>
  </r>
  <r>
    <x v="88"/>
    <x v="358"/>
  </r>
  <r>
    <x v="88"/>
    <x v="359"/>
  </r>
  <r>
    <x v="88"/>
    <x v="58"/>
  </r>
  <r>
    <x v="88"/>
    <x v="360"/>
  </r>
  <r>
    <x v="88"/>
    <x v="361"/>
  </r>
  <r>
    <x v="89"/>
    <x v="362"/>
  </r>
  <r>
    <x v="89"/>
    <x v="363"/>
  </r>
  <r>
    <x v="89"/>
    <x v="93"/>
  </r>
  <r>
    <x v="89"/>
    <x v="364"/>
  </r>
  <r>
    <x v="89"/>
    <x v="18"/>
  </r>
  <r>
    <x v="90"/>
    <x v="365"/>
  </r>
  <r>
    <x v="90"/>
    <x v="366"/>
  </r>
  <r>
    <x v="90"/>
    <x v="84"/>
  </r>
  <r>
    <x v="90"/>
    <x v="74"/>
  </r>
  <r>
    <x v="90"/>
    <x v="87"/>
  </r>
  <r>
    <x v="91"/>
    <x v="367"/>
  </r>
  <r>
    <x v="91"/>
    <x v="368"/>
  </r>
  <r>
    <x v="91"/>
    <x v="369"/>
  </r>
  <r>
    <x v="92"/>
    <x v="235"/>
  </r>
  <r>
    <x v="92"/>
    <x v="370"/>
  </r>
  <r>
    <x v="92"/>
    <x v="371"/>
  </r>
  <r>
    <x v="92"/>
    <x v="372"/>
  </r>
  <r>
    <x v="92"/>
    <x v="373"/>
  </r>
  <r>
    <x v="93"/>
    <x v="374"/>
  </r>
  <r>
    <x v="93"/>
    <x v="375"/>
  </r>
  <r>
    <x v="93"/>
    <x v="376"/>
  </r>
  <r>
    <x v="93"/>
    <x v="377"/>
  </r>
  <r>
    <x v="94"/>
    <x v="378"/>
  </r>
  <r>
    <x v="94"/>
    <x v="379"/>
  </r>
  <r>
    <x v="94"/>
    <x v="182"/>
  </r>
  <r>
    <x v="95"/>
    <x v="380"/>
  </r>
  <r>
    <x v="95"/>
    <x v="51"/>
  </r>
  <r>
    <x v="96"/>
    <x v="64"/>
  </r>
  <r>
    <x v="96"/>
    <x v="100"/>
  </r>
  <r>
    <x v="96"/>
    <x v="381"/>
  </r>
  <r>
    <x v="96"/>
    <x v="382"/>
  </r>
  <r>
    <x v="97"/>
    <x v="383"/>
  </r>
  <r>
    <x v="97"/>
    <x v="384"/>
  </r>
  <r>
    <x v="97"/>
    <x v="93"/>
  </r>
  <r>
    <x v="97"/>
    <x v="385"/>
  </r>
  <r>
    <x v="97"/>
    <x v="386"/>
  </r>
  <r>
    <x v="97"/>
    <x v="387"/>
  </r>
  <r>
    <x v="97"/>
    <x v="388"/>
  </r>
  <r>
    <x v="97"/>
    <x v="330"/>
  </r>
  <r>
    <x v="98"/>
    <x v="389"/>
  </r>
  <r>
    <x v="98"/>
    <x v="68"/>
  </r>
  <r>
    <x v="99"/>
    <x v="58"/>
  </r>
  <r>
    <x v="99"/>
    <x v="67"/>
  </r>
  <r>
    <x v="99"/>
    <x v="390"/>
  </r>
  <r>
    <x v="100"/>
    <x v="3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6B3AFA-79F1-4504-B5E3-7E5C06254BE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5" firstHeaderRow="1" firstDataRow="1" firstDataCol="1"/>
  <pivotFields count="2">
    <pivotField axis="axisRow" showAll="0">
      <items count="102"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00"/>
        <item t="default"/>
      </items>
    </pivotField>
    <pivotField dataField="1" showAll="0">
      <items count="393">
        <item x="122"/>
        <item x="262"/>
        <item x="204"/>
        <item x="18"/>
        <item x="55"/>
        <item x="354"/>
        <item x="22"/>
        <item x="93"/>
        <item x="95"/>
        <item x="58"/>
        <item x="100"/>
        <item x="261"/>
        <item x="60"/>
        <item x="40"/>
        <item x="51"/>
        <item x="46"/>
        <item x="101"/>
        <item x="118"/>
        <item x="64"/>
        <item x="211"/>
        <item x="259"/>
        <item x="74"/>
        <item x="358"/>
        <item x="41"/>
        <item x="223"/>
        <item x="21"/>
        <item x="44"/>
        <item x="268"/>
        <item x="260"/>
        <item x="178"/>
        <item x="54"/>
        <item x="16"/>
        <item x="377"/>
        <item x="50"/>
        <item x="309"/>
        <item x="130"/>
        <item x="348"/>
        <item x="134"/>
        <item x="108"/>
        <item x="29"/>
        <item x="99"/>
        <item x="258"/>
        <item x="152"/>
        <item x="84"/>
        <item x="310"/>
        <item x="25"/>
        <item x="65"/>
        <item x="13"/>
        <item x="207"/>
        <item x="216"/>
        <item x="299"/>
        <item x="209"/>
        <item x="96"/>
        <item x="304"/>
        <item x="218"/>
        <item x="124"/>
        <item x="208"/>
        <item x="379"/>
        <item x="363"/>
        <item x="289"/>
        <item x="312"/>
        <item x="62"/>
        <item x="186"/>
        <item x="156"/>
        <item x="179"/>
        <item x="42"/>
        <item x="347"/>
        <item x="159"/>
        <item x="374"/>
        <item x="202"/>
        <item x="164"/>
        <item x="153"/>
        <item x="157"/>
        <item x="329"/>
        <item x="366"/>
        <item x="206"/>
        <item x="160"/>
        <item x="56"/>
        <item x="248"/>
        <item x="352"/>
        <item x="341"/>
        <item x="389"/>
        <item x="182"/>
        <item x="177"/>
        <item x="6"/>
        <item x="0"/>
        <item x="375"/>
        <item x="136"/>
        <item x="246"/>
        <item x="387"/>
        <item x="257"/>
        <item x="311"/>
        <item x="337"/>
        <item x="81"/>
        <item x="125"/>
        <item x="28"/>
        <item x="43"/>
        <item x="12"/>
        <item x="119"/>
        <item x="131"/>
        <item x="381"/>
        <item x="90"/>
        <item x="364"/>
        <item x="190"/>
        <item x="351"/>
        <item x="220"/>
        <item x="250"/>
        <item x="104"/>
        <item x="297"/>
        <item x="68"/>
        <item x="139"/>
        <item x="127"/>
        <item x="87"/>
        <item x="300"/>
        <item x="137"/>
        <item x="382"/>
        <item x="97"/>
        <item x="233"/>
        <item x="278"/>
        <item x="308"/>
        <item x="103"/>
        <item x="270"/>
        <item x="243"/>
        <item x="198"/>
        <item x="15"/>
        <item x="315"/>
        <item x="167"/>
        <item x="331"/>
        <item x="191"/>
        <item x="283"/>
        <item x="367"/>
        <item x="231"/>
        <item x="79"/>
        <item x="356"/>
        <item x="353"/>
        <item x="343"/>
        <item x="105"/>
        <item x="238"/>
        <item x="282"/>
        <item x="32"/>
        <item x="85"/>
        <item x="11"/>
        <item x="70"/>
        <item x="195"/>
        <item x="326"/>
        <item x="232"/>
        <item x="357"/>
        <item x="135"/>
        <item x="53"/>
        <item x="61"/>
        <item x="266"/>
        <item x="272"/>
        <item x="123"/>
        <item x="188"/>
        <item x="181"/>
        <item x="187"/>
        <item x="229"/>
        <item x="165"/>
        <item x="1"/>
        <item x="2"/>
        <item x="113"/>
        <item x="89"/>
        <item x="133"/>
        <item x="17"/>
        <item x="328"/>
        <item x="126"/>
        <item x="384"/>
        <item x="303"/>
        <item x="371"/>
        <item x="168"/>
        <item x="30"/>
        <item x="63"/>
        <item x="254"/>
        <item x="82"/>
        <item x="298"/>
        <item x="368"/>
        <item x="111"/>
        <item x="372"/>
        <item x="9"/>
        <item x="4"/>
        <item x="147"/>
        <item x="339"/>
        <item x="172"/>
        <item x="203"/>
        <item x="242"/>
        <item x="335"/>
        <item x="92"/>
        <item x="317"/>
        <item x="26"/>
        <item x="355"/>
        <item x="245"/>
        <item x="237"/>
        <item x="38"/>
        <item x="285"/>
        <item x="330"/>
        <item x="321"/>
        <item x="154"/>
        <item x="78"/>
        <item x="376"/>
        <item x="323"/>
        <item x="290"/>
        <item x="385"/>
        <item x="151"/>
        <item x="214"/>
        <item x="378"/>
        <item x="69"/>
        <item x="75"/>
        <item x="88"/>
        <item x="194"/>
        <item x="212"/>
        <item x="49"/>
        <item x="346"/>
        <item x="345"/>
        <item x="279"/>
        <item x="205"/>
        <item x="162"/>
        <item x="342"/>
        <item x="192"/>
        <item x="286"/>
        <item x="112"/>
        <item x="305"/>
        <item x="7"/>
        <item x="314"/>
        <item x="234"/>
        <item x="71"/>
        <item x="14"/>
        <item x="219"/>
        <item x="350"/>
        <item x="215"/>
        <item x="73"/>
        <item x="183"/>
        <item x="176"/>
        <item x="155"/>
        <item x="197"/>
        <item x="19"/>
        <item x="362"/>
        <item x="281"/>
        <item x="23"/>
        <item x="264"/>
        <item x="320"/>
        <item x="293"/>
        <item x="141"/>
        <item x="291"/>
        <item x="116"/>
        <item x="10"/>
        <item x="210"/>
        <item x="307"/>
        <item x="67"/>
        <item x="333"/>
        <item x="158"/>
        <item x="76"/>
        <item x="149"/>
        <item x="94"/>
        <item x="189"/>
        <item x="247"/>
        <item x="39"/>
        <item x="344"/>
        <item x="114"/>
        <item x="361"/>
        <item x="196"/>
        <item x="150"/>
        <item x="144"/>
        <item x="20"/>
        <item x="295"/>
        <item x="332"/>
        <item x="91"/>
        <item x="107"/>
        <item x="213"/>
        <item x="174"/>
        <item x="110"/>
        <item x="276"/>
        <item x="200"/>
        <item x="5"/>
        <item x="166"/>
        <item x="8"/>
        <item x="169"/>
        <item x="31"/>
        <item x="370"/>
        <item x="109"/>
        <item x="140"/>
        <item x="184"/>
        <item x="306"/>
        <item x="146"/>
        <item x="227"/>
        <item x="340"/>
        <item x="226"/>
        <item x="224"/>
        <item x="129"/>
        <item x="365"/>
        <item x="221"/>
        <item x="27"/>
        <item x="59"/>
        <item x="217"/>
        <item x="33"/>
        <item x="171"/>
        <item x="77"/>
        <item x="275"/>
        <item x="170"/>
        <item x="52"/>
        <item x="251"/>
        <item x="45"/>
        <item x="228"/>
        <item x="287"/>
        <item x="35"/>
        <item x="34"/>
        <item x="334"/>
        <item x="161"/>
        <item x="230"/>
        <item x="316"/>
        <item x="386"/>
        <item x="359"/>
        <item x="225"/>
        <item x="325"/>
        <item x="98"/>
        <item x="360"/>
        <item x="252"/>
        <item x="138"/>
        <item x="269"/>
        <item x="48"/>
        <item x="239"/>
        <item x="37"/>
        <item x="241"/>
        <item x="142"/>
        <item x="72"/>
        <item x="185"/>
        <item x="255"/>
        <item x="296"/>
        <item x="256"/>
        <item x="199"/>
        <item x="236"/>
        <item x="324"/>
        <item x="388"/>
        <item x="265"/>
        <item x="235"/>
        <item x="80"/>
        <item x="163"/>
        <item x="83"/>
        <item x="132"/>
        <item x="271"/>
        <item x="249"/>
        <item x="102"/>
        <item x="180"/>
        <item x="373"/>
        <item x="175"/>
        <item x="294"/>
        <item x="319"/>
        <item x="338"/>
        <item x="222"/>
        <item x="301"/>
        <item x="106"/>
        <item x="143"/>
        <item x="120"/>
        <item x="24"/>
        <item x="327"/>
        <item x="128"/>
        <item x="115"/>
        <item x="36"/>
        <item x="284"/>
        <item x="148"/>
        <item x="277"/>
        <item x="322"/>
        <item x="57"/>
        <item x="201"/>
        <item x="244"/>
        <item x="318"/>
        <item x="336"/>
        <item x="274"/>
        <item x="66"/>
        <item x="263"/>
        <item x="253"/>
        <item x="302"/>
        <item x="380"/>
        <item x="193"/>
        <item x="117"/>
        <item x="121"/>
        <item x="383"/>
        <item x="145"/>
        <item x="240"/>
        <item x="313"/>
        <item x="173"/>
        <item x="280"/>
        <item x="47"/>
        <item x="273"/>
        <item x="288"/>
        <item x="369"/>
        <item x="292"/>
        <item x="3"/>
        <item x="349"/>
        <item x="390"/>
        <item x="267"/>
        <item x="86"/>
        <item x="391"/>
        <item t="default"/>
      </items>
    </pivotField>
  </pivotFields>
  <rowFields count="1">
    <field x="0"/>
  </rowFields>
  <rowItems count="1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 t="grand">
      <x/>
    </i>
  </rowItems>
  <colItems count="1">
    <i/>
  </colItems>
  <dataFields count="1">
    <dataField name="Count of Quantity(No of Commodity)" fld="1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59EC2-E907-4428-B7A2-1E2880738F07}">
  <dimension ref="A1:N501"/>
  <sheetViews>
    <sheetView topLeftCell="H1" workbookViewId="0">
      <selection activeCell="I1" sqref="I1:J1048576"/>
    </sheetView>
  </sheetViews>
  <sheetFormatPr defaultRowHeight="14.5" x14ac:dyDescent="0.35"/>
  <cols>
    <col min="1" max="1" width="10.08984375" bestFit="1" customWidth="1"/>
    <col min="2" max="2" width="21" customWidth="1"/>
    <col min="3" max="3" width="17.36328125" customWidth="1"/>
    <col min="4" max="4" width="14.54296875" customWidth="1"/>
    <col min="5" max="5" width="20.08984375" customWidth="1"/>
    <col min="6" max="6" width="17.1796875" customWidth="1"/>
    <col min="7" max="7" width="10.1796875" bestFit="1" customWidth="1"/>
    <col min="8" max="8" width="95.54296875" customWidth="1"/>
    <col min="9" max="9" width="15.54296875" bestFit="1" customWidth="1"/>
    <col min="10" max="10" width="23.7265625" customWidth="1"/>
    <col min="11" max="11" width="22.7265625" style="31" bestFit="1" customWidth="1"/>
    <col min="12" max="12" width="13.90625" style="31" customWidth="1"/>
    <col min="13" max="13" width="18.90625" customWidth="1"/>
    <col min="14" max="14" width="22.6328125" customWidth="1"/>
  </cols>
  <sheetData>
    <row r="1" spans="1:14" x14ac:dyDescent="0.35">
      <c r="A1" s="14" t="s">
        <v>363</v>
      </c>
      <c r="B1" s="9" t="s">
        <v>364</v>
      </c>
      <c r="C1" s="9" t="s">
        <v>365</v>
      </c>
      <c r="D1" s="9" t="s">
        <v>366</v>
      </c>
      <c r="E1" s="9" t="s">
        <v>475</v>
      </c>
      <c r="F1" s="9" t="s">
        <v>367</v>
      </c>
      <c r="G1" s="9" t="s">
        <v>371</v>
      </c>
      <c r="H1" s="9" t="s">
        <v>372</v>
      </c>
      <c r="I1" s="26" t="s">
        <v>373</v>
      </c>
      <c r="J1" s="9" t="s">
        <v>528</v>
      </c>
      <c r="K1" s="32" t="s">
        <v>374</v>
      </c>
      <c r="L1" s="30" t="s">
        <v>529</v>
      </c>
      <c r="M1" s="25" t="s">
        <v>530</v>
      </c>
      <c r="N1" s="25" t="s">
        <v>531</v>
      </c>
    </row>
    <row r="2" spans="1:14" x14ac:dyDescent="0.35">
      <c r="A2" s="15" t="s">
        <v>375</v>
      </c>
      <c r="B2" s="16" t="s">
        <v>370</v>
      </c>
      <c r="C2" s="16" t="s">
        <v>0</v>
      </c>
      <c r="D2" s="17">
        <v>826</v>
      </c>
      <c r="E2" s="18" t="s">
        <v>478</v>
      </c>
      <c r="F2" s="16">
        <v>154</v>
      </c>
      <c r="G2" s="16">
        <v>72210012</v>
      </c>
      <c r="H2" s="16" t="s">
        <v>533</v>
      </c>
      <c r="I2" s="27" t="s">
        <v>21</v>
      </c>
      <c r="J2" s="18">
        <v>1</v>
      </c>
      <c r="K2" s="33">
        <v>1.3</v>
      </c>
      <c r="L2" s="31">
        <f>J2*K2</f>
        <v>1.3</v>
      </c>
      <c r="M2" t="str">
        <f>IF(K2&lt;=1000,"Low Value Product",IF(K2&lt;=2000,"Moderate Value Product","High Value Product"))</f>
        <v>Low Value Product</v>
      </c>
      <c r="N2" t="str">
        <f>IF(L2&lt;50000,"Low Revenue Product",IF(L2&lt;100000,"Medium Revenue Product","High Revenue Product"))</f>
        <v>Low Revenue Product</v>
      </c>
    </row>
    <row r="3" spans="1:14" x14ac:dyDescent="0.35">
      <c r="A3" s="19" t="s">
        <v>375</v>
      </c>
      <c r="B3" s="18" t="s">
        <v>125</v>
      </c>
      <c r="C3" s="18" t="s">
        <v>126</v>
      </c>
      <c r="D3" s="7">
        <v>372</v>
      </c>
      <c r="E3" s="18" t="s">
        <v>478</v>
      </c>
      <c r="F3" s="18">
        <v>154</v>
      </c>
      <c r="G3" s="18">
        <v>90183920</v>
      </c>
      <c r="H3" s="18" t="s">
        <v>196</v>
      </c>
      <c r="I3" s="28" t="s">
        <v>2</v>
      </c>
      <c r="J3" s="21">
        <v>1472</v>
      </c>
      <c r="K3" s="34">
        <v>0.02</v>
      </c>
      <c r="L3" s="31">
        <f t="shared" ref="L3:L66" si="0">J3*K3</f>
        <v>29.44</v>
      </c>
      <c r="M3" t="str">
        <f t="shared" ref="M3:M66" si="1">IF(K3&lt;=1000,"Low Value Product",IF(K3&lt;=2000,"Moderate Value Product","High Value Product"))</f>
        <v>Low Value Product</v>
      </c>
      <c r="N3" t="str">
        <f t="shared" ref="N3:N66" si="2">IF(L3&lt;50000,"Low Revenue Product",IF(L3&lt;100000,"Medium Revenue Product","High Revenue Product"))</f>
        <v>Low Revenue Product</v>
      </c>
    </row>
    <row r="4" spans="1:14" x14ac:dyDescent="0.35">
      <c r="A4" s="19" t="s">
        <v>375</v>
      </c>
      <c r="B4" s="18" t="s">
        <v>369</v>
      </c>
      <c r="C4" s="18" t="s">
        <v>3</v>
      </c>
      <c r="D4" s="7">
        <v>528</v>
      </c>
      <c r="E4" s="18" t="s">
        <v>476</v>
      </c>
      <c r="F4" s="18">
        <v>155</v>
      </c>
      <c r="G4" s="18">
        <v>39233010</v>
      </c>
      <c r="H4" s="18" t="s">
        <v>532</v>
      </c>
      <c r="I4" s="27" t="s">
        <v>21</v>
      </c>
      <c r="J4" s="18">
        <v>148118</v>
      </c>
      <c r="K4" s="33">
        <v>12.95</v>
      </c>
      <c r="L4" s="31">
        <f t="shared" si="0"/>
        <v>1918128.0999999999</v>
      </c>
      <c r="M4" t="str">
        <f t="shared" si="1"/>
        <v>Low Value Product</v>
      </c>
      <c r="N4" t="str">
        <f t="shared" si="2"/>
        <v>High Revenue Product</v>
      </c>
    </row>
    <row r="5" spans="1:14" x14ac:dyDescent="0.35">
      <c r="A5" s="19" t="s">
        <v>375</v>
      </c>
      <c r="B5" s="18" t="s">
        <v>14</v>
      </c>
      <c r="C5" s="18" t="s">
        <v>15</v>
      </c>
      <c r="D5" s="7">
        <v>250</v>
      </c>
      <c r="E5" s="18" t="s">
        <v>476</v>
      </c>
      <c r="F5" s="18">
        <v>155</v>
      </c>
      <c r="G5" s="18">
        <v>85021340</v>
      </c>
      <c r="H5" s="18" t="s">
        <v>118</v>
      </c>
      <c r="I5" s="28" t="s">
        <v>2</v>
      </c>
      <c r="J5" s="21">
        <v>914</v>
      </c>
      <c r="K5" s="34">
        <v>0.08</v>
      </c>
      <c r="L5" s="31">
        <f t="shared" si="0"/>
        <v>73.12</v>
      </c>
      <c r="M5" t="str">
        <f t="shared" si="1"/>
        <v>Low Value Product</v>
      </c>
      <c r="N5" t="str">
        <f t="shared" si="2"/>
        <v>Low Revenue Product</v>
      </c>
    </row>
    <row r="6" spans="1:14" x14ac:dyDescent="0.35">
      <c r="A6" s="15" t="s">
        <v>375</v>
      </c>
      <c r="B6" s="16" t="s">
        <v>22</v>
      </c>
      <c r="C6" s="16" t="s">
        <v>23</v>
      </c>
      <c r="D6" s="17">
        <v>380</v>
      </c>
      <c r="E6" s="18" t="s">
        <v>477</v>
      </c>
      <c r="F6" s="16">
        <v>39</v>
      </c>
      <c r="G6" s="16">
        <v>70134900</v>
      </c>
      <c r="H6" s="16" t="s">
        <v>526</v>
      </c>
      <c r="I6" s="27" t="s">
        <v>21</v>
      </c>
      <c r="J6" s="18">
        <v>1757</v>
      </c>
      <c r="K6" s="33">
        <v>0.18</v>
      </c>
      <c r="L6" s="31">
        <f t="shared" si="0"/>
        <v>316.26</v>
      </c>
      <c r="M6" t="str">
        <f t="shared" si="1"/>
        <v>Low Value Product</v>
      </c>
      <c r="N6" t="str">
        <f t="shared" si="2"/>
        <v>Low Revenue Product</v>
      </c>
    </row>
    <row r="7" spans="1:14" x14ac:dyDescent="0.35">
      <c r="A7" s="20" t="s">
        <v>375</v>
      </c>
      <c r="B7" s="21" t="s">
        <v>14</v>
      </c>
      <c r="C7" s="21" t="s">
        <v>15</v>
      </c>
      <c r="D7" s="8">
        <v>250</v>
      </c>
      <c r="E7" s="18" t="s">
        <v>476</v>
      </c>
      <c r="F7" s="21">
        <v>155</v>
      </c>
      <c r="G7" s="21">
        <v>34011990</v>
      </c>
      <c r="H7" s="21" t="s">
        <v>527</v>
      </c>
      <c r="I7" s="28" t="s">
        <v>2</v>
      </c>
      <c r="J7" s="21">
        <v>36749</v>
      </c>
      <c r="K7" s="34">
        <v>0.56000000000000005</v>
      </c>
      <c r="L7" s="31">
        <f t="shared" si="0"/>
        <v>20579.440000000002</v>
      </c>
      <c r="M7" t="str">
        <f t="shared" si="1"/>
        <v>Low Value Product</v>
      </c>
      <c r="N7" t="str">
        <f t="shared" si="2"/>
        <v>Low Revenue Product</v>
      </c>
    </row>
    <row r="8" spans="1:14" x14ac:dyDescent="0.35">
      <c r="A8" s="19" t="s">
        <v>375</v>
      </c>
      <c r="B8" s="18" t="s">
        <v>370</v>
      </c>
      <c r="C8" s="18" t="s">
        <v>0</v>
      </c>
      <c r="D8" s="7">
        <v>826</v>
      </c>
      <c r="E8" s="18" t="s">
        <v>478</v>
      </c>
      <c r="F8" s="18">
        <v>154</v>
      </c>
      <c r="G8" s="18">
        <v>62044999</v>
      </c>
      <c r="H8" s="18" t="s">
        <v>10</v>
      </c>
      <c r="I8" s="27" t="s">
        <v>2</v>
      </c>
      <c r="J8" s="18">
        <v>1</v>
      </c>
      <c r="K8" s="33">
        <v>0</v>
      </c>
      <c r="L8" s="31">
        <f t="shared" si="0"/>
        <v>0</v>
      </c>
      <c r="M8" t="str">
        <f t="shared" si="1"/>
        <v>Low Value Product</v>
      </c>
      <c r="N8" t="str">
        <f t="shared" si="2"/>
        <v>Low Revenue Product</v>
      </c>
    </row>
    <row r="9" spans="1:14" x14ac:dyDescent="0.35">
      <c r="A9" s="20" t="s">
        <v>375</v>
      </c>
      <c r="B9" s="21" t="s">
        <v>369</v>
      </c>
      <c r="C9" s="21" t="s">
        <v>3</v>
      </c>
      <c r="D9" s="8">
        <v>528</v>
      </c>
      <c r="E9" s="18" t="s">
        <v>476</v>
      </c>
      <c r="F9" s="21">
        <v>155</v>
      </c>
      <c r="G9" s="21">
        <v>68138900</v>
      </c>
      <c r="H9" s="21" t="s">
        <v>10</v>
      </c>
      <c r="I9" s="28" t="s">
        <v>2</v>
      </c>
      <c r="J9" s="21">
        <v>24099</v>
      </c>
      <c r="K9" s="34">
        <v>1.07</v>
      </c>
      <c r="L9" s="31">
        <f t="shared" si="0"/>
        <v>25785.93</v>
      </c>
      <c r="M9" t="str">
        <f t="shared" si="1"/>
        <v>Low Value Product</v>
      </c>
      <c r="N9" t="str">
        <f t="shared" si="2"/>
        <v>Low Revenue Product</v>
      </c>
    </row>
    <row r="10" spans="1:14" x14ac:dyDescent="0.35">
      <c r="A10" s="19" t="s">
        <v>375</v>
      </c>
      <c r="B10" s="18" t="s">
        <v>125</v>
      </c>
      <c r="C10" s="18" t="s">
        <v>126</v>
      </c>
      <c r="D10" s="7">
        <v>372</v>
      </c>
      <c r="E10" s="18" t="s">
        <v>478</v>
      </c>
      <c r="F10" s="18">
        <v>154</v>
      </c>
      <c r="G10" s="18">
        <v>84799040</v>
      </c>
      <c r="H10" s="18" t="s">
        <v>534</v>
      </c>
      <c r="I10" s="27" t="s">
        <v>2</v>
      </c>
      <c r="J10" s="18">
        <v>371</v>
      </c>
      <c r="K10" s="33">
        <v>0.01</v>
      </c>
      <c r="L10" s="31">
        <f t="shared" si="0"/>
        <v>3.71</v>
      </c>
      <c r="M10" t="str">
        <f t="shared" si="1"/>
        <v>Low Value Product</v>
      </c>
      <c r="N10" t="str">
        <f t="shared" si="2"/>
        <v>Low Revenue Product</v>
      </c>
    </row>
    <row r="11" spans="1:14" x14ac:dyDescent="0.35">
      <c r="A11" s="20" t="s">
        <v>375</v>
      </c>
      <c r="B11" s="21" t="s">
        <v>40</v>
      </c>
      <c r="C11" s="21" t="s">
        <v>41</v>
      </c>
      <c r="D11" s="8">
        <v>642</v>
      </c>
      <c r="E11" s="18" t="s">
        <v>479</v>
      </c>
      <c r="F11" s="21">
        <v>151</v>
      </c>
      <c r="G11" s="21">
        <v>87089500</v>
      </c>
      <c r="H11" s="21" t="s">
        <v>535</v>
      </c>
      <c r="I11" s="28" t="s">
        <v>2</v>
      </c>
      <c r="J11" s="21">
        <v>17558</v>
      </c>
      <c r="K11" s="34">
        <v>2.4500000000000002</v>
      </c>
      <c r="L11" s="31">
        <f t="shared" si="0"/>
        <v>43017.100000000006</v>
      </c>
      <c r="M11" t="str">
        <f t="shared" si="1"/>
        <v>Low Value Product</v>
      </c>
      <c r="N11" t="str">
        <f t="shared" si="2"/>
        <v>Low Revenue Product</v>
      </c>
    </row>
    <row r="12" spans="1:14" x14ac:dyDescent="0.35">
      <c r="A12" s="15" t="s">
        <v>376</v>
      </c>
      <c r="B12" s="16" t="s">
        <v>60</v>
      </c>
      <c r="C12" s="16" t="s">
        <v>61</v>
      </c>
      <c r="D12" s="17">
        <v>724</v>
      </c>
      <c r="E12" s="18" t="s">
        <v>477</v>
      </c>
      <c r="F12" s="16">
        <v>39</v>
      </c>
      <c r="G12" s="16">
        <v>32041488</v>
      </c>
      <c r="H12" s="16" t="s">
        <v>113</v>
      </c>
      <c r="I12" s="27" t="s">
        <v>2</v>
      </c>
      <c r="J12" s="18">
        <v>3.15</v>
      </c>
      <c r="K12" s="33">
        <v>11.96</v>
      </c>
      <c r="L12" s="31">
        <f t="shared" si="0"/>
        <v>37.673999999999999</v>
      </c>
      <c r="M12" t="str">
        <f t="shared" si="1"/>
        <v>Low Value Product</v>
      </c>
      <c r="N12" t="str">
        <f t="shared" si="2"/>
        <v>Low Revenue Product</v>
      </c>
    </row>
    <row r="13" spans="1:14" x14ac:dyDescent="0.35">
      <c r="A13" s="19" t="s">
        <v>376</v>
      </c>
      <c r="B13" s="18" t="s">
        <v>14</v>
      </c>
      <c r="C13" s="18" t="s">
        <v>15</v>
      </c>
      <c r="D13" s="7">
        <v>250</v>
      </c>
      <c r="E13" s="18" t="s">
        <v>476</v>
      </c>
      <c r="F13" s="18">
        <v>155</v>
      </c>
      <c r="G13" s="18">
        <v>90141000</v>
      </c>
      <c r="H13" s="18" t="s">
        <v>536</v>
      </c>
      <c r="I13" s="28" t="s">
        <v>2</v>
      </c>
      <c r="J13" s="21">
        <v>13.5</v>
      </c>
      <c r="K13" s="34">
        <v>45.42</v>
      </c>
      <c r="L13" s="31">
        <f t="shared" si="0"/>
        <v>613.17000000000007</v>
      </c>
      <c r="M13" t="str">
        <f t="shared" si="1"/>
        <v>Low Value Product</v>
      </c>
      <c r="N13" t="str">
        <f t="shared" si="2"/>
        <v>Low Revenue Product</v>
      </c>
    </row>
    <row r="14" spans="1:14" x14ac:dyDescent="0.35">
      <c r="A14" s="19" t="s">
        <v>376</v>
      </c>
      <c r="B14" s="18" t="s">
        <v>370</v>
      </c>
      <c r="C14" s="18" t="s">
        <v>0</v>
      </c>
      <c r="D14" s="7">
        <v>826</v>
      </c>
      <c r="E14" s="18" t="s">
        <v>478</v>
      </c>
      <c r="F14" s="18">
        <v>154</v>
      </c>
      <c r="G14" s="18">
        <v>72230010</v>
      </c>
      <c r="H14" s="18" t="s">
        <v>252</v>
      </c>
      <c r="I14" s="27" t="s">
        <v>21</v>
      </c>
      <c r="J14" s="18">
        <v>1.4</v>
      </c>
      <c r="K14" s="33">
        <v>2.0699999999999998</v>
      </c>
      <c r="L14" s="31">
        <f t="shared" si="0"/>
        <v>2.8979999999999997</v>
      </c>
      <c r="M14" t="str">
        <f t="shared" si="1"/>
        <v>Low Value Product</v>
      </c>
      <c r="N14" t="str">
        <f t="shared" si="2"/>
        <v>Low Revenue Product</v>
      </c>
    </row>
    <row r="15" spans="1:14" x14ac:dyDescent="0.35">
      <c r="A15" s="19" t="s">
        <v>377</v>
      </c>
      <c r="B15" s="18" t="s">
        <v>22</v>
      </c>
      <c r="C15" s="18" t="s">
        <v>23</v>
      </c>
      <c r="D15" s="7">
        <v>380</v>
      </c>
      <c r="E15" s="18" t="s">
        <v>477</v>
      </c>
      <c r="F15" s="18">
        <v>39</v>
      </c>
      <c r="G15" s="18">
        <v>7132020</v>
      </c>
      <c r="H15" s="18" t="s">
        <v>114</v>
      </c>
      <c r="I15" s="28" t="s">
        <v>2</v>
      </c>
      <c r="J15" s="21">
        <v>0.33</v>
      </c>
      <c r="K15" s="34">
        <v>1.24</v>
      </c>
      <c r="L15" s="31">
        <f t="shared" si="0"/>
        <v>0.40920000000000001</v>
      </c>
      <c r="M15" t="str">
        <f t="shared" si="1"/>
        <v>Low Value Product</v>
      </c>
      <c r="N15" t="str">
        <f t="shared" si="2"/>
        <v>Low Revenue Product</v>
      </c>
    </row>
    <row r="16" spans="1:14" x14ac:dyDescent="0.35">
      <c r="A16" s="15" t="s">
        <v>377</v>
      </c>
      <c r="B16" s="16" t="s">
        <v>78</v>
      </c>
      <c r="C16" s="16" t="s">
        <v>79</v>
      </c>
      <c r="D16" s="17">
        <v>208</v>
      </c>
      <c r="E16" s="18" t="s">
        <v>478</v>
      </c>
      <c r="F16" s="16">
        <v>154</v>
      </c>
      <c r="G16" s="16">
        <v>57023110</v>
      </c>
      <c r="H16" s="16" t="s">
        <v>269</v>
      </c>
      <c r="I16" s="27" t="s">
        <v>2</v>
      </c>
      <c r="J16" s="18">
        <v>25</v>
      </c>
      <c r="K16" s="33">
        <v>15.98</v>
      </c>
      <c r="L16" s="31">
        <f t="shared" si="0"/>
        <v>399.5</v>
      </c>
      <c r="M16" t="str">
        <f t="shared" si="1"/>
        <v>Low Value Product</v>
      </c>
      <c r="N16" t="str">
        <f t="shared" si="2"/>
        <v>Low Revenue Product</v>
      </c>
    </row>
    <row r="17" spans="1:14" x14ac:dyDescent="0.35">
      <c r="A17" s="20" t="s">
        <v>377</v>
      </c>
      <c r="B17" s="21" t="s">
        <v>55</v>
      </c>
      <c r="C17" s="21" t="s">
        <v>56</v>
      </c>
      <c r="D17" s="8">
        <v>276</v>
      </c>
      <c r="E17" s="18" t="s">
        <v>476</v>
      </c>
      <c r="F17" s="21">
        <v>155</v>
      </c>
      <c r="G17" s="21">
        <v>38160000</v>
      </c>
      <c r="H17" s="21" t="s">
        <v>537</v>
      </c>
      <c r="I17" s="28" t="s">
        <v>17</v>
      </c>
      <c r="J17" s="21">
        <v>11.39</v>
      </c>
      <c r="K17" s="34">
        <v>234.15</v>
      </c>
      <c r="L17" s="31">
        <f t="shared" si="0"/>
        <v>2666.9685000000004</v>
      </c>
      <c r="M17" t="str">
        <f t="shared" si="1"/>
        <v>Low Value Product</v>
      </c>
      <c r="N17" t="str">
        <f t="shared" si="2"/>
        <v>Low Revenue Product</v>
      </c>
    </row>
    <row r="18" spans="1:14" x14ac:dyDescent="0.35">
      <c r="A18" s="15" t="s">
        <v>378</v>
      </c>
      <c r="B18" s="16" t="s">
        <v>22</v>
      </c>
      <c r="C18" s="16" t="s">
        <v>23</v>
      </c>
      <c r="D18" s="17">
        <v>380</v>
      </c>
      <c r="E18" s="18" t="s">
        <v>477</v>
      </c>
      <c r="F18" s="16">
        <v>39</v>
      </c>
      <c r="G18" s="16">
        <v>21011120</v>
      </c>
      <c r="H18" s="16" t="s">
        <v>120</v>
      </c>
      <c r="I18" s="27" t="s">
        <v>2</v>
      </c>
      <c r="J18" s="18">
        <v>0.15</v>
      </c>
      <c r="K18" s="33">
        <v>3.32</v>
      </c>
      <c r="L18" s="31">
        <f t="shared" si="0"/>
        <v>0.49799999999999994</v>
      </c>
      <c r="M18" t="str">
        <f t="shared" si="1"/>
        <v>Low Value Product</v>
      </c>
      <c r="N18" t="str">
        <f t="shared" si="2"/>
        <v>Low Revenue Product</v>
      </c>
    </row>
    <row r="19" spans="1:14" x14ac:dyDescent="0.35">
      <c r="A19" s="19" t="s">
        <v>378</v>
      </c>
      <c r="B19" s="18" t="s">
        <v>86</v>
      </c>
      <c r="C19" s="18" t="s">
        <v>87</v>
      </c>
      <c r="D19" s="7">
        <v>40</v>
      </c>
      <c r="E19" s="18" t="s">
        <v>476</v>
      </c>
      <c r="F19" s="18">
        <v>155</v>
      </c>
      <c r="G19" s="18">
        <v>32159090</v>
      </c>
      <c r="H19" s="18" t="s">
        <v>538</v>
      </c>
      <c r="I19" s="28" t="s">
        <v>2</v>
      </c>
      <c r="J19" s="21">
        <v>15.4</v>
      </c>
      <c r="K19" s="34">
        <v>53.51</v>
      </c>
      <c r="L19" s="31">
        <f t="shared" si="0"/>
        <v>824.05399999999997</v>
      </c>
      <c r="M19" t="str">
        <f t="shared" si="1"/>
        <v>Low Value Product</v>
      </c>
      <c r="N19" t="str">
        <f t="shared" si="2"/>
        <v>Low Revenue Product</v>
      </c>
    </row>
    <row r="20" spans="1:14" x14ac:dyDescent="0.35">
      <c r="A20" s="19" t="s">
        <v>378</v>
      </c>
      <c r="B20" s="18" t="s">
        <v>14</v>
      </c>
      <c r="C20" s="18" t="s">
        <v>15</v>
      </c>
      <c r="D20" s="7">
        <v>250</v>
      </c>
      <c r="E20" s="18" t="s">
        <v>476</v>
      </c>
      <c r="F20" s="18">
        <v>155</v>
      </c>
      <c r="G20" s="18">
        <v>28111990</v>
      </c>
      <c r="H20" s="18" t="s">
        <v>259</v>
      </c>
      <c r="I20" s="27" t="s">
        <v>2</v>
      </c>
      <c r="J20" s="18">
        <v>0</v>
      </c>
      <c r="K20" s="33">
        <v>0.02</v>
      </c>
      <c r="L20" s="31">
        <f t="shared" si="0"/>
        <v>0</v>
      </c>
      <c r="M20" t="str">
        <f t="shared" si="1"/>
        <v>Low Value Product</v>
      </c>
      <c r="N20" t="str">
        <f t="shared" si="2"/>
        <v>Low Revenue Product</v>
      </c>
    </row>
    <row r="21" spans="1:14" x14ac:dyDescent="0.35">
      <c r="A21" s="20" t="s">
        <v>378</v>
      </c>
      <c r="B21" s="21" t="s">
        <v>60</v>
      </c>
      <c r="C21" s="21" t="s">
        <v>61</v>
      </c>
      <c r="D21" s="8">
        <v>724</v>
      </c>
      <c r="E21" s="18" t="s">
        <v>477</v>
      </c>
      <c r="F21" s="21">
        <v>39</v>
      </c>
      <c r="G21" s="21">
        <v>39211200</v>
      </c>
      <c r="H21" s="21" t="s">
        <v>539</v>
      </c>
      <c r="I21" s="28" t="s">
        <v>2</v>
      </c>
      <c r="J21" s="21">
        <v>27.64</v>
      </c>
      <c r="K21" s="34">
        <v>23.33</v>
      </c>
      <c r="L21" s="31">
        <f t="shared" si="0"/>
        <v>644.84119999999996</v>
      </c>
      <c r="M21" t="str">
        <f t="shared" si="1"/>
        <v>Low Value Product</v>
      </c>
      <c r="N21" t="str">
        <f t="shared" si="2"/>
        <v>Low Revenue Product</v>
      </c>
    </row>
    <row r="22" spans="1:14" x14ac:dyDescent="0.35">
      <c r="A22" s="19" t="s">
        <v>378</v>
      </c>
      <c r="B22" s="18" t="s">
        <v>11</v>
      </c>
      <c r="C22" s="18" t="s">
        <v>12</v>
      </c>
      <c r="D22" s="7">
        <v>643</v>
      </c>
      <c r="E22" s="18" t="s">
        <v>479</v>
      </c>
      <c r="F22" s="18">
        <v>151</v>
      </c>
      <c r="G22" s="18">
        <v>90321090</v>
      </c>
      <c r="H22" s="18" t="s">
        <v>540</v>
      </c>
      <c r="I22" s="27" t="s">
        <v>21</v>
      </c>
      <c r="J22" s="18">
        <v>33.9</v>
      </c>
      <c r="K22" s="33">
        <v>11.66</v>
      </c>
      <c r="L22" s="31">
        <f t="shared" si="0"/>
        <v>395.274</v>
      </c>
      <c r="M22" t="str">
        <f t="shared" si="1"/>
        <v>Low Value Product</v>
      </c>
      <c r="N22" t="str">
        <f t="shared" si="2"/>
        <v>Low Revenue Product</v>
      </c>
    </row>
    <row r="23" spans="1:14" x14ac:dyDescent="0.35">
      <c r="A23" s="20" t="s">
        <v>379</v>
      </c>
      <c r="B23" s="21" t="s">
        <v>18</v>
      </c>
      <c r="C23" s="21" t="s">
        <v>19</v>
      </c>
      <c r="D23" s="8">
        <v>620</v>
      </c>
      <c r="E23" s="18" t="s">
        <v>477</v>
      </c>
      <c r="F23" s="21">
        <v>39</v>
      </c>
      <c r="G23" s="21">
        <v>20011000</v>
      </c>
      <c r="H23" s="21" t="s">
        <v>607</v>
      </c>
      <c r="I23" s="28" t="s">
        <v>2</v>
      </c>
      <c r="J23" s="21">
        <v>0.1</v>
      </c>
      <c r="K23" s="34">
        <v>0.19</v>
      </c>
      <c r="L23" s="31">
        <f t="shared" si="0"/>
        <v>1.9000000000000003E-2</v>
      </c>
      <c r="M23" t="str">
        <f t="shared" si="1"/>
        <v>Low Value Product</v>
      </c>
      <c r="N23" t="str">
        <f t="shared" si="2"/>
        <v>Low Revenue Product</v>
      </c>
    </row>
    <row r="24" spans="1:14" x14ac:dyDescent="0.35">
      <c r="A24" s="15" t="s">
        <v>379</v>
      </c>
      <c r="B24" s="16" t="s">
        <v>5</v>
      </c>
      <c r="C24" s="16" t="s">
        <v>6</v>
      </c>
      <c r="D24" s="17">
        <v>756</v>
      </c>
      <c r="E24" s="18" t="s">
        <v>476</v>
      </c>
      <c r="F24" s="16">
        <v>155</v>
      </c>
      <c r="G24" s="16">
        <v>9042229</v>
      </c>
      <c r="H24" s="16" t="s">
        <v>229</v>
      </c>
      <c r="I24" s="27" t="s">
        <v>17</v>
      </c>
      <c r="J24" s="18">
        <v>0</v>
      </c>
      <c r="K24" s="33">
        <v>0.01</v>
      </c>
      <c r="L24" s="31">
        <f t="shared" si="0"/>
        <v>0</v>
      </c>
      <c r="M24" t="str">
        <f t="shared" si="1"/>
        <v>Low Value Product</v>
      </c>
      <c r="N24" t="str">
        <f t="shared" si="2"/>
        <v>Low Revenue Product</v>
      </c>
    </row>
    <row r="25" spans="1:14" x14ac:dyDescent="0.35">
      <c r="A25" s="19" t="s">
        <v>379</v>
      </c>
      <c r="B25" s="18" t="s">
        <v>130</v>
      </c>
      <c r="C25" s="18" t="s">
        <v>131</v>
      </c>
      <c r="D25" s="7">
        <v>233</v>
      </c>
      <c r="E25" s="18" t="s">
        <v>478</v>
      </c>
      <c r="F25" s="18">
        <v>154</v>
      </c>
      <c r="G25" s="18">
        <v>70031990</v>
      </c>
      <c r="H25" s="18" t="s">
        <v>542</v>
      </c>
      <c r="I25" s="28" t="s">
        <v>2</v>
      </c>
      <c r="J25" s="21">
        <v>28</v>
      </c>
      <c r="K25" s="34">
        <v>12.98</v>
      </c>
      <c r="L25" s="31">
        <f t="shared" si="0"/>
        <v>363.44</v>
      </c>
      <c r="M25" t="str">
        <f t="shared" si="1"/>
        <v>Low Value Product</v>
      </c>
      <c r="N25" t="str">
        <f t="shared" si="2"/>
        <v>Low Revenue Product</v>
      </c>
    </row>
    <row r="26" spans="1:14" x14ac:dyDescent="0.35">
      <c r="A26" s="19" t="s">
        <v>380</v>
      </c>
      <c r="B26" s="18" t="s">
        <v>370</v>
      </c>
      <c r="C26" s="18" t="s">
        <v>0</v>
      </c>
      <c r="D26" s="7">
        <v>826</v>
      </c>
      <c r="E26" s="18" t="s">
        <v>478</v>
      </c>
      <c r="F26" s="18">
        <v>154</v>
      </c>
      <c r="G26" s="18">
        <v>63041910</v>
      </c>
      <c r="H26" s="18" t="s">
        <v>209</v>
      </c>
      <c r="I26" s="27" t="s">
        <v>2</v>
      </c>
      <c r="J26" s="18">
        <v>7.24</v>
      </c>
      <c r="K26" s="33">
        <v>442.22</v>
      </c>
      <c r="L26" s="31">
        <f t="shared" si="0"/>
        <v>3201.6728000000003</v>
      </c>
      <c r="M26" t="str">
        <f t="shared" si="1"/>
        <v>Low Value Product</v>
      </c>
      <c r="N26" t="str">
        <f t="shared" si="2"/>
        <v>Low Revenue Product</v>
      </c>
    </row>
    <row r="27" spans="1:14" x14ac:dyDescent="0.35">
      <c r="A27" s="19" t="s">
        <v>380</v>
      </c>
      <c r="B27" s="18" t="s">
        <v>5</v>
      </c>
      <c r="C27" s="18" t="s">
        <v>6</v>
      </c>
      <c r="D27" s="7">
        <v>756</v>
      </c>
      <c r="E27" s="18" t="s">
        <v>476</v>
      </c>
      <c r="F27" s="18">
        <v>155</v>
      </c>
      <c r="G27" s="18">
        <v>29419090</v>
      </c>
      <c r="H27" s="18" t="s">
        <v>224</v>
      </c>
      <c r="I27" s="28" t="s">
        <v>2</v>
      </c>
      <c r="J27" s="21">
        <v>0.28000000000000003</v>
      </c>
      <c r="K27" s="34">
        <v>2.73</v>
      </c>
      <c r="L27" s="31">
        <f t="shared" si="0"/>
        <v>0.76440000000000008</v>
      </c>
      <c r="M27" t="str">
        <f t="shared" si="1"/>
        <v>Low Value Product</v>
      </c>
      <c r="N27" t="str">
        <f t="shared" si="2"/>
        <v>Low Revenue Product</v>
      </c>
    </row>
    <row r="28" spans="1:14" x14ac:dyDescent="0.35">
      <c r="A28" s="15" t="s">
        <v>380</v>
      </c>
      <c r="B28" s="16" t="s">
        <v>370</v>
      </c>
      <c r="C28" s="16" t="s">
        <v>0</v>
      </c>
      <c r="D28" s="17">
        <v>826</v>
      </c>
      <c r="E28" s="18" t="s">
        <v>478</v>
      </c>
      <c r="F28" s="16">
        <v>154</v>
      </c>
      <c r="G28" s="16">
        <v>33029090</v>
      </c>
      <c r="H28" s="16" t="s">
        <v>543</v>
      </c>
      <c r="I28" s="27" t="s">
        <v>21</v>
      </c>
      <c r="J28" s="18">
        <v>193.2</v>
      </c>
      <c r="K28" s="33">
        <v>1247.69</v>
      </c>
      <c r="L28" s="31">
        <f t="shared" si="0"/>
        <v>241053.70799999998</v>
      </c>
      <c r="M28" t="str">
        <f t="shared" si="1"/>
        <v>Moderate Value Product</v>
      </c>
      <c r="N28" t="str">
        <f t="shared" si="2"/>
        <v>High Revenue Product</v>
      </c>
    </row>
    <row r="29" spans="1:14" x14ac:dyDescent="0.35">
      <c r="A29" s="20" t="s">
        <v>381</v>
      </c>
      <c r="B29" s="21" t="s">
        <v>369</v>
      </c>
      <c r="C29" s="21" t="s">
        <v>3</v>
      </c>
      <c r="D29" s="8">
        <v>528</v>
      </c>
      <c r="E29" s="18" t="s">
        <v>476</v>
      </c>
      <c r="F29" s="21">
        <v>155</v>
      </c>
      <c r="G29" s="21">
        <v>29171950</v>
      </c>
      <c r="H29" s="21" t="s">
        <v>348</v>
      </c>
      <c r="I29" s="28" t="s">
        <v>2</v>
      </c>
      <c r="J29" s="21">
        <v>40</v>
      </c>
      <c r="K29" s="34">
        <v>26.6</v>
      </c>
      <c r="L29" s="31">
        <f t="shared" si="0"/>
        <v>1064</v>
      </c>
      <c r="M29" t="str">
        <f t="shared" si="1"/>
        <v>Low Value Product</v>
      </c>
      <c r="N29" t="str">
        <f t="shared" si="2"/>
        <v>Low Revenue Product</v>
      </c>
    </row>
    <row r="30" spans="1:14" x14ac:dyDescent="0.35">
      <c r="A30" s="19" t="s">
        <v>381</v>
      </c>
      <c r="B30" s="18" t="s">
        <v>14</v>
      </c>
      <c r="C30" s="18" t="s">
        <v>15</v>
      </c>
      <c r="D30" s="7">
        <v>250</v>
      </c>
      <c r="E30" s="18" t="s">
        <v>476</v>
      </c>
      <c r="F30" s="18">
        <v>155</v>
      </c>
      <c r="G30" s="18">
        <v>52122500</v>
      </c>
      <c r="H30" s="18" t="s">
        <v>544</v>
      </c>
      <c r="I30" s="27" t="s">
        <v>17</v>
      </c>
      <c r="J30" s="18">
        <v>1.25</v>
      </c>
      <c r="K30" s="33">
        <v>8.65</v>
      </c>
      <c r="L30" s="31">
        <f t="shared" si="0"/>
        <v>10.8125</v>
      </c>
      <c r="M30" t="str">
        <f t="shared" si="1"/>
        <v>Low Value Product</v>
      </c>
      <c r="N30" t="str">
        <f t="shared" si="2"/>
        <v>Low Revenue Product</v>
      </c>
    </row>
    <row r="31" spans="1:14" x14ac:dyDescent="0.35">
      <c r="A31" s="19" t="s">
        <v>382</v>
      </c>
      <c r="B31" s="18" t="s">
        <v>11</v>
      </c>
      <c r="C31" s="18" t="s">
        <v>12</v>
      </c>
      <c r="D31" s="7">
        <v>643</v>
      </c>
      <c r="E31" s="18" t="s">
        <v>479</v>
      </c>
      <c r="F31" s="18">
        <v>151</v>
      </c>
      <c r="G31" s="18">
        <v>29061390</v>
      </c>
      <c r="H31" s="18" t="s">
        <v>332</v>
      </c>
      <c r="I31" s="28" t="s">
        <v>2</v>
      </c>
      <c r="J31" s="21">
        <v>0</v>
      </c>
      <c r="K31" s="34">
        <v>0.01</v>
      </c>
      <c r="L31" s="31">
        <f t="shared" si="0"/>
        <v>0</v>
      </c>
      <c r="M31" t="str">
        <f t="shared" si="1"/>
        <v>Low Value Product</v>
      </c>
      <c r="N31" t="str">
        <f t="shared" si="2"/>
        <v>Low Revenue Product</v>
      </c>
    </row>
    <row r="32" spans="1:14" x14ac:dyDescent="0.35">
      <c r="A32" s="15" t="s">
        <v>382</v>
      </c>
      <c r="B32" s="16" t="s">
        <v>40</v>
      </c>
      <c r="C32" s="16" t="s">
        <v>41</v>
      </c>
      <c r="D32" s="17">
        <v>642</v>
      </c>
      <c r="E32" s="18" t="s">
        <v>479</v>
      </c>
      <c r="F32" s="16">
        <v>151</v>
      </c>
      <c r="G32" s="16">
        <v>84148090</v>
      </c>
      <c r="H32" s="16" t="s">
        <v>10</v>
      </c>
      <c r="I32" s="27" t="s">
        <v>2</v>
      </c>
      <c r="J32" s="18">
        <v>0.1</v>
      </c>
      <c r="K32" s="33">
        <v>1.99</v>
      </c>
      <c r="L32" s="31">
        <f t="shared" si="0"/>
        <v>0.19900000000000001</v>
      </c>
      <c r="M32" t="str">
        <f t="shared" si="1"/>
        <v>Low Value Product</v>
      </c>
      <c r="N32" t="str">
        <f t="shared" si="2"/>
        <v>Low Revenue Product</v>
      </c>
    </row>
    <row r="33" spans="1:14" x14ac:dyDescent="0.35">
      <c r="A33" s="19" t="s">
        <v>382</v>
      </c>
      <c r="B33" s="18" t="s">
        <v>125</v>
      </c>
      <c r="C33" s="18" t="s">
        <v>126</v>
      </c>
      <c r="D33" s="7">
        <v>372</v>
      </c>
      <c r="E33" s="18" t="s">
        <v>478</v>
      </c>
      <c r="F33" s="18">
        <v>154</v>
      </c>
      <c r="G33" s="18">
        <v>90330000</v>
      </c>
      <c r="H33" s="18" t="s">
        <v>545</v>
      </c>
      <c r="I33" s="28" t="s">
        <v>17</v>
      </c>
      <c r="J33" s="21">
        <v>0.2</v>
      </c>
      <c r="K33" s="34">
        <v>0.61</v>
      </c>
      <c r="L33" s="31">
        <f t="shared" si="0"/>
        <v>0.122</v>
      </c>
      <c r="M33" t="str">
        <f t="shared" si="1"/>
        <v>Low Value Product</v>
      </c>
      <c r="N33" t="str">
        <f t="shared" si="2"/>
        <v>Low Revenue Product</v>
      </c>
    </row>
    <row r="34" spans="1:14" x14ac:dyDescent="0.35">
      <c r="A34" s="15" t="s">
        <v>382</v>
      </c>
      <c r="B34" s="16" t="s">
        <v>370</v>
      </c>
      <c r="C34" s="16" t="s">
        <v>0</v>
      </c>
      <c r="D34" s="17">
        <v>826</v>
      </c>
      <c r="E34" s="18" t="s">
        <v>478</v>
      </c>
      <c r="F34" s="16">
        <v>154</v>
      </c>
      <c r="G34" s="16">
        <v>54083212</v>
      </c>
      <c r="H34" s="16" t="s">
        <v>319</v>
      </c>
      <c r="I34" s="27" t="s">
        <v>2</v>
      </c>
      <c r="J34" s="18">
        <v>0</v>
      </c>
      <c r="K34" s="33">
        <v>0.01</v>
      </c>
      <c r="L34" s="31">
        <f t="shared" si="0"/>
        <v>0</v>
      </c>
      <c r="M34" t="str">
        <f t="shared" si="1"/>
        <v>Low Value Product</v>
      </c>
      <c r="N34" t="str">
        <f t="shared" si="2"/>
        <v>Low Revenue Product</v>
      </c>
    </row>
    <row r="35" spans="1:14" x14ac:dyDescent="0.35">
      <c r="A35" s="20" t="s">
        <v>382</v>
      </c>
      <c r="B35" s="21" t="s">
        <v>83</v>
      </c>
      <c r="C35" s="21" t="s">
        <v>84</v>
      </c>
      <c r="D35" s="8">
        <v>804</v>
      </c>
      <c r="E35" s="18" t="s">
        <v>479</v>
      </c>
      <c r="F35" s="21">
        <v>151</v>
      </c>
      <c r="G35" s="21">
        <v>49111020</v>
      </c>
      <c r="H35" s="21" t="s">
        <v>546</v>
      </c>
      <c r="I35" s="28" t="s">
        <v>21</v>
      </c>
      <c r="J35" s="21">
        <v>17.11</v>
      </c>
      <c r="K35" s="34">
        <v>103.49</v>
      </c>
      <c r="L35" s="31">
        <f t="shared" si="0"/>
        <v>1770.7139</v>
      </c>
      <c r="M35" t="str">
        <f t="shared" si="1"/>
        <v>Low Value Product</v>
      </c>
      <c r="N35" t="str">
        <f t="shared" si="2"/>
        <v>Low Revenue Product</v>
      </c>
    </row>
    <row r="36" spans="1:14" x14ac:dyDescent="0.35">
      <c r="A36" s="19" t="s">
        <v>383</v>
      </c>
      <c r="B36" s="18" t="s">
        <v>55</v>
      </c>
      <c r="C36" s="18" t="s">
        <v>56</v>
      </c>
      <c r="D36" s="7">
        <v>276</v>
      </c>
      <c r="E36" s="18" t="s">
        <v>476</v>
      </c>
      <c r="F36" s="18">
        <v>155</v>
      </c>
      <c r="G36" s="18">
        <v>81130030</v>
      </c>
      <c r="H36" s="18" t="s">
        <v>336</v>
      </c>
      <c r="I36" s="27" t="s">
        <v>2</v>
      </c>
      <c r="J36" s="18">
        <v>38</v>
      </c>
      <c r="K36" s="33">
        <v>0.02</v>
      </c>
      <c r="L36" s="31">
        <f t="shared" si="0"/>
        <v>0.76</v>
      </c>
      <c r="M36" t="str">
        <f t="shared" si="1"/>
        <v>Low Value Product</v>
      </c>
      <c r="N36" t="str">
        <f t="shared" si="2"/>
        <v>Low Revenue Product</v>
      </c>
    </row>
    <row r="37" spans="1:14" x14ac:dyDescent="0.35">
      <c r="A37" s="19" t="s">
        <v>383</v>
      </c>
      <c r="B37" s="18" t="s">
        <v>86</v>
      </c>
      <c r="C37" s="18" t="s">
        <v>87</v>
      </c>
      <c r="D37" s="7">
        <v>40</v>
      </c>
      <c r="E37" s="18" t="s">
        <v>476</v>
      </c>
      <c r="F37" s="18">
        <v>155</v>
      </c>
      <c r="G37" s="18">
        <v>84821030</v>
      </c>
      <c r="H37" s="18" t="s">
        <v>153</v>
      </c>
      <c r="I37" s="28" t="s">
        <v>17</v>
      </c>
      <c r="J37" s="21">
        <v>128</v>
      </c>
      <c r="K37" s="34">
        <v>0.02</v>
      </c>
      <c r="L37" s="31">
        <f t="shared" si="0"/>
        <v>2.56</v>
      </c>
      <c r="M37" t="str">
        <f t="shared" si="1"/>
        <v>Low Value Product</v>
      </c>
      <c r="N37" t="str">
        <f t="shared" si="2"/>
        <v>Low Revenue Product</v>
      </c>
    </row>
    <row r="38" spans="1:14" x14ac:dyDescent="0.35">
      <c r="A38" s="15" t="s">
        <v>383</v>
      </c>
      <c r="B38" s="16" t="s">
        <v>369</v>
      </c>
      <c r="C38" s="16" t="s">
        <v>3</v>
      </c>
      <c r="D38" s="17">
        <v>528</v>
      </c>
      <c r="E38" s="18" t="s">
        <v>476</v>
      </c>
      <c r="F38" s="16">
        <v>155</v>
      </c>
      <c r="G38" s="16">
        <v>57023120</v>
      </c>
      <c r="H38" s="16" t="s">
        <v>337</v>
      </c>
      <c r="I38" s="27" t="s">
        <v>21</v>
      </c>
      <c r="J38" s="18">
        <v>419</v>
      </c>
      <c r="K38" s="33">
        <v>0.12</v>
      </c>
      <c r="L38" s="31">
        <f t="shared" si="0"/>
        <v>50.28</v>
      </c>
      <c r="M38" t="str">
        <f t="shared" si="1"/>
        <v>Low Value Product</v>
      </c>
      <c r="N38" t="str">
        <f t="shared" si="2"/>
        <v>Low Revenue Product</v>
      </c>
    </row>
    <row r="39" spans="1:14" x14ac:dyDescent="0.35">
      <c r="A39" s="20" t="s">
        <v>383</v>
      </c>
      <c r="B39" s="21" t="s">
        <v>40</v>
      </c>
      <c r="C39" s="21" t="s">
        <v>41</v>
      </c>
      <c r="D39" s="8">
        <v>642</v>
      </c>
      <c r="E39" s="18" t="s">
        <v>479</v>
      </c>
      <c r="F39" s="21">
        <v>151</v>
      </c>
      <c r="G39" s="21">
        <v>29095090</v>
      </c>
      <c r="H39" s="21" t="s">
        <v>104</v>
      </c>
      <c r="I39" s="28" t="s">
        <v>2</v>
      </c>
      <c r="J39" s="21">
        <v>1</v>
      </c>
      <c r="K39" s="34">
        <v>0.01</v>
      </c>
      <c r="L39" s="31">
        <f t="shared" si="0"/>
        <v>0.01</v>
      </c>
      <c r="M39" t="str">
        <f t="shared" si="1"/>
        <v>Low Value Product</v>
      </c>
      <c r="N39" t="str">
        <f t="shared" si="2"/>
        <v>Low Revenue Product</v>
      </c>
    </row>
    <row r="40" spans="1:14" x14ac:dyDescent="0.35">
      <c r="A40" s="15" t="s">
        <v>383</v>
      </c>
      <c r="B40" s="16" t="s">
        <v>86</v>
      </c>
      <c r="C40" s="16" t="s">
        <v>87</v>
      </c>
      <c r="D40" s="17">
        <v>40</v>
      </c>
      <c r="E40" s="18" t="s">
        <v>476</v>
      </c>
      <c r="F40" s="16">
        <v>155</v>
      </c>
      <c r="G40" s="16">
        <v>73201019</v>
      </c>
      <c r="H40" s="16" t="s">
        <v>256</v>
      </c>
      <c r="I40" s="27" t="s">
        <v>21</v>
      </c>
      <c r="J40" s="18">
        <v>48</v>
      </c>
      <c r="K40" s="33">
        <v>0.39</v>
      </c>
      <c r="L40" s="31">
        <f t="shared" si="0"/>
        <v>18.72</v>
      </c>
      <c r="M40" t="str">
        <f t="shared" si="1"/>
        <v>Low Value Product</v>
      </c>
      <c r="N40" t="str">
        <f t="shared" si="2"/>
        <v>Low Revenue Product</v>
      </c>
    </row>
    <row r="41" spans="1:14" x14ac:dyDescent="0.35">
      <c r="A41" s="19" t="s">
        <v>383</v>
      </c>
      <c r="B41" s="18" t="s">
        <v>134</v>
      </c>
      <c r="C41" s="18" t="s">
        <v>135</v>
      </c>
      <c r="D41" s="7">
        <v>300</v>
      </c>
      <c r="E41" s="18" t="s">
        <v>477</v>
      </c>
      <c r="F41" s="18">
        <v>39</v>
      </c>
      <c r="G41" s="18">
        <v>12075090</v>
      </c>
      <c r="H41" s="18" t="s">
        <v>207</v>
      </c>
      <c r="I41" s="28" t="s">
        <v>2</v>
      </c>
      <c r="J41" s="21">
        <v>456</v>
      </c>
      <c r="K41" s="34">
        <v>0.01</v>
      </c>
      <c r="L41" s="31">
        <f t="shared" si="0"/>
        <v>4.5600000000000005</v>
      </c>
      <c r="M41" t="str">
        <f t="shared" si="1"/>
        <v>Low Value Product</v>
      </c>
      <c r="N41" t="str">
        <f t="shared" si="2"/>
        <v>Low Revenue Product</v>
      </c>
    </row>
    <row r="42" spans="1:14" x14ac:dyDescent="0.35">
      <c r="A42" s="15" t="s">
        <v>383</v>
      </c>
      <c r="B42" s="16" t="s">
        <v>18</v>
      </c>
      <c r="C42" s="16" t="s">
        <v>19</v>
      </c>
      <c r="D42" s="17">
        <v>620</v>
      </c>
      <c r="E42" s="18" t="s">
        <v>477</v>
      </c>
      <c r="F42" s="16">
        <v>39</v>
      </c>
      <c r="G42" s="16">
        <v>17049090</v>
      </c>
      <c r="H42" s="16" t="s">
        <v>176</v>
      </c>
      <c r="I42" s="27" t="s">
        <v>2</v>
      </c>
      <c r="J42" s="18">
        <v>72</v>
      </c>
      <c r="K42" s="33">
        <v>0</v>
      </c>
      <c r="L42" s="31">
        <f t="shared" si="0"/>
        <v>0</v>
      </c>
      <c r="M42" t="str">
        <f t="shared" si="1"/>
        <v>Low Value Product</v>
      </c>
      <c r="N42" t="str">
        <f t="shared" si="2"/>
        <v>Low Revenue Product</v>
      </c>
    </row>
    <row r="43" spans="1:14" x14ac:dyDescent="0.35">
      <c r="A43" s="19" t="s">
        <v>383</v>
      </c>
      <c r="B43" s="18" t="s">
        <v>48</v>
      </c>
      <c r="C43" s="18" t="s">
        <v>49</v>
      </c>
      <c r="D43" s="7">
        <v>246</v>
      </c>
      <c r="E43" s="18" t="s">
        <v>478</v>
      </c>
      <c r="F43" s="18">
        <v>154</v>
      </c>
      <c r="G43" s="18">
        <v>61012000</v>
      </c>
      <c r="H43" s="18" t="s">
        <v>522</v>
      </c>
      <c r="I43" s="28" t="s">
        <v>2</v>
      </c>
      <c r="J43" s="21">
        <v>50332</v>
      </c>
      <c r="K43" s="34">
        <v>1.32</v>
      </c>
      <c r="L43" s="31">
        <f t="shared" si="0"/>
        <v>66438.240000000005</v>
      </c>
      <c r="M43" t="str">
        <f t="shared" si="1"/>
        <v>Low Value Product</v>
      </c>
      <c r="N43" t="str">
        <f t="shared" si="2"/>
        <v>Medium Revenue Product</v>
      </c>
    </row>
    <row r="44" spans="1:14" x14ac:dyDescent="0.35">
      <c r="A44" s="15" t="s">
        <v>383</v>
      </c>
      <c r="B44" s="16" t="s">
        <v>369</v>
      </c>
      <c r="C44" s="16" t="s">
        <v>3</v>
      </c>
      <c r="D44" s="17">
        <v>528</v>
      </c>
      <c r="E44" s="18" t="s">
        <v>476</v>
      </c>
      <c r="F44" s="16">
        <v>155</v>
      </c>
      <c r="G44" s="16">
        <v>19059040</v>
      </c>
      <c r="H44" s="16" t="s">
        <v>98</v>
      </c>
      <c r="I44" s="27" t="s">
        <v>21</v>
      </c>
      <c r="J44" s="18">
        <v>2</v>
      </c>
      <c r="K44" s="33">
        <v>0</v>
      </c>
      <c r="L44" s="31">
        <f t="shared" si="0"/>
        <v>0</v>
      </c>
      <c r="M44" t="str">
        <f t="shared" si="1"/>
        <v>Low Value Product</v>
      </c>
      <c r="N44" t="str">
        <f t="shared" si="2"/>
        <v>Low Revenue Product</v>
      </c>
    </row>
    <row r="45" spans="1:14" x14ac:dyDescent="0.35">
      <c r="A45" s="19" t="s">
        <v>383</v>
      </c>
      <c r="B45" s="18" t="s">
        <v>172</v>
      </c>
      <c r="C45" s="18" t="s">
        <v>480</v>
      </c>
      <c r="D45" s="7" t="s">
        <v>480</v>
      </c>
      <c r="E45" s="18" t="s">
        <v>476</v>
      </c>
      <c r="F45" s="18">
        <v>155</v>
      </c>
      <c r="G45" s="18">
        <v>87112019</v>
      </c>
      <c r="H45" s="18" t="s">
        <v>547</v>
      </c>
      <c r="I45" s="28" t="s">
        <v>2</v>
      </c>
      <c r="J45" s="21">
        <v>3000</v>
      </c>
      <c r="K45" s="34">
        <v>0.37</v>
      </c>
      <c r="L45" s="31">
        <f t="shared" si="0"/>
        <v>1110</v>
      </c>
      <c r="M45" t="str">
        <f t="shared" si="1"/>
        <v>Low Value Product</v>
      </c>
      <c r="N45" t="str">
        <f t="shared" si="2"/>
        <v>Low Revenue Product</v>
      </c>
    </row>
    <row r="46" spans="1:14" x14ac:dyDescent="0.35">
      <c r="A46" s="15" t="s">
        <v>384</v>
      </c>
      <c r="B46" s="16" t="s">
        <v>100</v>
      </c>
      <c r="C46" s="16" t="s">
        <v>101</v>
      </c>
      <c r="D46" s="17">
        <v>705</v>
      </c>
      <c r="E46" s="18" t="s">
        <v>477</v>
      </c>
      <c r="F46" s="16">
        <v>39</v>
      </c>
      <c r="G46" s="16">
        <v>72222012</v>
      </c>
      <c r="H46" s="16" t="s">
        <v>548</v>
      </c>
      <c r="I46" s="27" t="s">
        <v>2</v>
      </c>
      <c r="J46" s="18">
        <v>0.03</v>
      </c>
      <c r="K46" s="33">
        <v>9.64</v>
      </c>
      <c r="L46" s="31">
        <f t="shared" si="0"/>
        <v>0.28920000000000001</v>
      </c>
      <c r="M46" t="str">
        <f t="shared" si="1"/>
        <v>Low Value Product</v>
      </c>
      <c r="N46" t="str">
        <f t="shared" si="2"/>
        <v>Low Revenue Product</v>
      </c>
    </row>
    <row r="47" spans="1:14" x14ac:dyDescent="0.35">
      <c r="A47" s="20" t="s">
        <v>384</v>
      </c>
      <c r="B47" s="21" t="s">
        <v>370</v>
      </c>
      <c r="C47" s="21" t="s">
        <v>0</v>
      </c>
      <c r="D47" s="8">
        <v>826</v>
      </c>
      <c r="E47" s="18" t="s">
        <v>478</v>
      </c>
      <c r="F47" s="21">
        <v>154</v>
      </c>
      <c r="G47" s="21">
        <v>30066020</v>
      </c>
      <c r="H47" s="21" t="s">
        <v>549</v>
      </c>
      <c r="I47" s="28" t="s">
        <v>2</v>
      </c>
      <c r="J47" s="21">
        <v>0.09</v>
      </c>
      <c r="K47" s="34">
        <v>4.0599999999999996</v>
      </c>
      <c r="L47" s="31">
        <f t="shared" si="0"/>
        <v>0.36539999999999995</v>
      </c>
      <c r="M47" t="str">
        <f t="shared" si="1"/>
        <v>Low Value Product</v>
      </c>
      <c r="N47" t="str">
        <f t="shared" si="2"/>
        <v>Low Revenue Product</v>
      </c>
    </row>
    <row r="48" spans="1:14" x14ac:dyDescent="0.35">
      <c r="A48" s="15" t="s">
        <v>384</v>
      </c>
      <c r="B48" s="16" t="s">
        <v>370</v>
      </c>
      <c r="C48" s="16" t="s">
        <v>0</v>
      </c>
      <c r="D48" s="17">
        <v>826</v>
      </c>
      <c r="E48" s="18" t="s">
        <v>478</v>
      </c>
      <c r="F48" s="16">
        <v>154</v>
      </c>
      <c r="G48" s="16">
        <v>90141000</v>
      </c>
      <c r="H48" s="16" t="s">
        <v>536</v>
      </c>
      <c r="I48" s="27" t="s">
        <v>21</v>
      </c>
      <c r="J48" s="18">
        <v>0.62</v>
      </c>
      <c r="K48" s="33">
        <v>19.27</v>
      </c>
      <c r="L48" s="31">
        <f t="shared" si="0"/>
        <v>11.9474</v>
      </c>
      <c r="M48" t="str">
        <f t="shared" si="1"/>
        <v>Low Value Product</v>
      </c>
      <c r="N48" t="str">
        <f t="shared" si="2"/>
        <v>Low Revenue Product</v>
      </c>
    </row>
    <row r="49" spans="1:14" x14ac:dyDescent="0.35">
      <c r="A49" s="19" t="s">
        <v>384</v>
      </c>
      <c r="B49" s="18" t="s">
        <v>11</v>
      </c>
      <c r="C49" s="18" t="s">
        <v>12</v>
      </c>
      <c r="D49" s="7">
        <v>643</v>
      </c>
      <c r="E49" s="18" t="s">
        <v>479</v>
      </c>
      <c r="F49" s="18">
        <v>151</v>
      </c>
      <c r="G49" s="18">
        <v>84609090</v>
      </c>
      <c r="H49" s="18" t="s">
        <v>10</v>
      </c>
      <c r="I49" s="28" t="s">
        <v>21</v>
      </c>
      <c r="J49" s="21">
        <v>1.35</v>
      </c>
      <c r="K49" s="34">
        <v>4.05</v>
      </c>
      <c r="L49" s="31">
        <f t="shared" si="0"/>
        <v>5.4675000000000002</v>
      </c>
      <c r="M49" t="str">
        <f t="shared" si="1"/>
        <v>Low Value Product</v>
      </c>
      <c r="N49" t="str">
        <f t="shared" si="2"/>
        <v>Low Revenue Product</v>
      </c>
    </row>
    <row r="50" spans="1:14" x14ac:dyDescent="0.35">
      <c r="A50" s="19" t="s">
        <v>384</v>
      </c>
      <c r="B50" s="18" t="s">
        <v>60</v>
      </c>
      <c r="C50" s="18" t="s">
        <v>61</v>
      </c>
      <c r="D50" s="7">
        <v>724</v>
      </c>
      <c r="E50" s="18" t="s">
        <v>477</v>
      </c>
      <c r="F50" s="18">
        <v>39</v>
      </c>
      <c r="G50" s="18">
        <v>82075000</v>
      </c>
      <c r="H50" s="18" t="s">
        <v>550</v>
      </c>
      <c r="I50" s="27" t="s">
        <v>21</v>
      </c>
      <c r="J50" s="18">
        <v>0.1</v>
      </c>
      <c r="K50" s="33">
        <v>0.05</v>
      </c>
      <c r="L50" s="31">
        <f t="shared" si="0"/>
        <v>5.000000000000001E-3</v>
      </c>
      <c r="M50" t="str">
        <f t="shared" si="1"/>
        <v>Low Value Product</v>
      </c>
      <c r="N50" t="str">
        <f t="shared" si="2"/>
        <v>Low Revenue Product</v>
      </c>
    </row>
    <row r="51" spans="1:14" x14ac:dyDescent="0.35">
      <c r="A51" s="19" t="s">
        <v>384</v>
      </c>
      <c r="B51" s="18" t="s">
        <v>134</v>
      </c>
      <c r="C51" s="18" t="s">
        <v>135</v>
      </c>
      <c r="D51" s="7">
        <v>300</v>
      </c>
      <c r="E51" s="18" t="s">
        <v>477</v>
      </c>
      <c r="F51" s="18">
        <v>39</v>
      </c>
      <c r="G51" s="18">
        <v>40114090</v>
      </c>
      <c r="H51" s="18" t="s">
        <v>249</v>
      </c>
      <c r="I51" s="28" t="s">
        <v>2</v>
      </c>
      <c r="J51" s="21">
        <v>43.85</v>
      </c>
      <c r="K51" s="34">
        <v>100.37</v>
      </c>
      <c r="L51" s="31">
        <f t="shared" si="0"/>
        <v>4401.2245000000003</v>
      </c>
      <c r="M51" t="str">
        <f t="shared" si="1"/>
        <v>Low Value Product</v>
      </c>
      <c r="N51" t="str">
        <f t="shared" si="2"/>
        <v>Low Revenue Product</v>
      </c>
    </row>
    <row r="52" spans="1:14" x14ac:dyDescent="0.35">
      <c r="A52" s="19" t="s">
        <v>385</v>
      </c>
      <c r="B52" s="18" t="s">
        <v>22</v>
      </c>
      <c r="C52" s="18" t="s">
        <v>23</v>
      </c>
      <c r="D52" s="7">
        <v>380</v>
      </c>
      <c r="E52" s="18" t="s">
        <v>477</v>
      </c>
      <c r="F52" s="18">
        <v>39</v>
      </c>
      <c r="G52" s="18">
        <v>90183930</v>
      </c>
      <c r="H52" s="18" t="s">
        <v>301</v>
      </c>
      <c r="I52" s="27" t="s">
        <v>2</v>
      </c>
      <c r="J52" s="18">
        <v>0.04</v>
      </c>
      <c r="K52" s="33">
        <v>0.28999999999999998</v>
      </c>
      <c r="L52" s="31">
        <f t="shared" si="0"/>
        <v>1.1599999999999999E-2</v>
      </c>
      <c r="M52" t="str">
        <f t="shared" si="1"/>
        <v>Low Value Product</v>
      </c>
      <c r="N52" t="str">
        <f t="shared" si="2"/>
        <v>Low Revenue Product</v>
      </c>
    </row>
    <row r="53" spans="1:14" x14ac:dyDescent="0.35">
      <c r="A53" s="19" t="s">
        <v>385</v>
      </c>
      <c r="B53" s="18" t="s">
        <v>146</v>
      </c>
      <c r="C53" s="18" t="s">
        <v>147</v>
      </c>
      <c r="D53" s="7">
        <v>70</v>
      </c>
      <c r="E53" s="18" t="s">
        <v>477</v>
      </c>
      <c r="F53" s="18">
        <v>39</v>
      </c>
      <c r="G53" s="18">
        <v>28352200</v>
      </c>
      <c r="H53" s="18" t="s">
        <v>148</v>
      </c>
      <c r="I53" s="28" t="s">
        <v>2</v>
      </c>
      <c r="J53" s="21">
        <v>9.1</v>
      </c>
      <c r="K53" s="34">
        <v>24.83</v>
      </c>
      <c r="L53" s="31">
        <f t="shared" si="0"/>
        <v>225.95299999999997</v>
      </c>
      <c r="M53" t="str">
        <f t="shared" si="1"/>
        <v>Low Value Product</v>
      </c>
      <c r="N53" t="str">
        <f t="shared" si="2"/>
        <v>Low Revenue Product</v>
      </c>
    </row>
    <row r="54" spans="1:14" x14ac:dyDescent="0.35">
      <c r="A54" s="15" t="s">
        <v>385</v>
      </c>
      <c r="B54" s="16" t="s">
        <v>11</v>
      </c>
      <c r="C54" s="16" t="s">
        <v>12</v>
      </c>
      <c r="D54" s="17">
        <v>643</v>
      </c>
      <c r="E54" s="18" t="s">
        <v>479</v>
      </c>
      <c r="F54" s="16">
        <v>151</v>
      </c>
      <c r="G54" s="16">
        <v>84099199</v>
      </c>
      <c r="H54" s="16" t="s">
        <v>551</v>
      </c>
      <c r="I54" s="27" t="s">
        <v>21</v>
      </c>
      <c r="J54" s="18">
        <v>50.23</v>
      </c>
      <c r="K54" s="33">
        <v>16.309999999999999</v>
      </c>
      <c r="L54" s="31">
        <f t="shared" si="0"/>
        <v>819.2512999999999</v>
      </c>
      <c r="M54" t="str">
        <f t="shared" si="1"/>
        <v>Low Value Product</v>
      </c>
      <c r="N54" t="str">
        <f t="shared" si="2"/>
        <v>Low Revenue Product</v>
      </c>
    </row>
    <row r="55" spans="1:14" x14ac:dyDescent="0.35">
      <c r="A55" s="20" t="s">
        <v>385</v>
      </c>
      <c r="B55" s="21" t="s">
        <v>14</v>
      </c>
      <c r="C55" s="21" t="s">
        <v>15</v>
      </c>
      <c r="D55" s="8">
        <v>250</v>
      </c>
      <c r="E55" s="18" t="s">
        <v>476</v>
      </c>
      <c r="F55" s="21">
        <v>155</v>
      </c>
      <c r="G55" s="21">
        <v>44199090</v>
      </c>
      <c r="H55" s="21" t="s">
        <v>10</v>
      </c>
      <c r="I55" s="28" t="s">
        <v>2</v>
      </c>
      <c r="J55" s="21">
        <v>21.23</v>
      </c>
      <c r="K55" s="34">
        <v>281.10000000000002</v>
      </c>
      <c r="L55" s="31">
        <f t="shared" si="0"/>
        <v>5967.7530000000006</v>
      </c>
      <c r="M55" t="str">
        <f t="shared" si="1"/>
        <v>Low Value Product</v>
      </c>
      <c r="N55" t="str">
        <f t="shared" si="2"/>
        <v>Low Revenue Product</v>
      </c>
    </row>
    <row r="56" spans="1:14" x14ac:dyDescent="0.35">
      <c r="A56" s="15" t="s">
        <v>386</v>
      </c>
      <c r="B56" s="16" t="s">
        <v>78</v>
      </c>
      <c r="C56" s="16" t="s">
        <v>79</v>
      </c>
      <c r="D56" s="17">
        <v>208</v>
      </c>
      <c r="E56" s="18" t="s">
        <v>478</v>
      </c>
      <c r="F56" s="16">
        <v>154</v>
      </c>
      <c r="G56" s="16">
        <v>72223012</v>
      </c>
      <c r="H56" s="16" t="s">
        <v>548</v>
      </c>
      <c r="I56" s="27" t="s">
        <v>2</v>
      </c>
      <c r="J56" s="18">
        <v>0.16</v>
      </c>
      <c r="K56" s="33">
        <v>4.51</v>
      </c>
      <c r="L56" s="31">
        <f t="shared" si="0"/>
        <v>0.72160000000000002</v>
      </c>
      <c r="M56" t="str">
        <f t="shared" si="1"/>
        <v>Low Value Product</v>
      </c>
      <c r="N56" t="str">
        <f t="shared" si="2"/>
        <v>Low Revenue Product</v>
      </c>
    </row>
    <row r="57" spans="1:14" x14ac:dyDescent="0.35">
      <c r="A57" s="19" t="s">
        <v>386</v>
      </c>
      <c r="B57" s="18" t="s">
        <v>62</v>
      </c>
      <c r="C57" s="18" t="s">
        <v>63</v>
      </c>
      <c r="D57" s="7">
        <v>752</v>
      </c>
      <c r="E57" s="18" t="s">
        <v>478</v>
      </c>
      <c r="F57" s="18">
        <v>154</v>
      </c>
      <c r="G57" s="18">
        <v>57029110</v>
      </c>
      <c r="H57" s="18" t="s">
        <v>269</v>
      </c>
      <c r="I57" s="28" t="s">
        <v>21</v>
      </c>
      <c r="J57" s="21">
        <v>0.03</v>
      </c>
      <c r="K57" s="34">
        <v>0.11</v>
      </c>
      <c r="L57" s="31">
        <f t="shared" si="0"/>
        <v>3.3E-3</v>
      </c>
      <c r="M57" t="str">
        <f t="shared" si="1"/>
        <v>Low Value Product</v>
      </c>
      <c r="N57" t="str">
        <f t="shared" si="2"/>
        <v>Low Revenue Product</v>
      </c>
    </row>
    <row r="58" spans="1:14" x14ac:dyDescent="0.35">
      <c r="A58" s="15" t="s">
        <v>386</v>
      </c>
      <c r="B58" s="16" t="s">
        <v>5</v>
      </c>
      <c r="C58" s="16" t="s">
        <v>6</v>
      </c>
      <c r="D58" s="17">
        <v>756</v>
      </c>
      <c r="E58" s="18" t="s">
        <v>476</v>
      </c>
      <c r="F58" s="16">
        <v>155</v>
      </c>
      <c r="G58" s="16">
        <v>84211930</v>
      </c>
      <c r="H58" s="16" t="s">
        <v>246</v>
      </c>
      <c r="I58" s="27" t="s">
        <v>2</v>
      </c>
      <c r="J58" s="18">
        <v>43.4</v>
      </c>
      <c r="K58" s="33">
        <v>538.19000000000005</v>
      </c>
      <c r="L58" s="31">
        <f t="shared" si="0"/>
        <v>23357.446</v>
      </c>
      <c r="M58" t="str">
        <f t="shared" si="1"/>
        <v>Low Value Product</v>
      </c>
      <c r="N58" t="str">
        <f t="shared" si="2"/>
        <v>Low Revenue Product</v>
      </c>
    </row>
    <row r="59" spans="1:14" x14ac:dyDescent="0.35">
      <c r="A59" s="19" t="s">
        <v>386</v>
      </c>
      <c r="B59" s="18" t="s">
        <v>51</v>
      </c>
      <c r="C59" s="18" t="s">
        <v>52</v>
      </c>
      <c r="D59" s="7">
        <v>616</v>
      </c>
      <c r="E59" s="18" t="s">
        <v>479</v>
      </c>
      <c r="F59" s="18">
        <v>151</v>
      </c>
      <c r="G59" s="18">
        <v>84862000</v>
      </c>
      <c r="H59" s="18" t="s">
        <v>53</v>
      </c>
      <c r="I59" s="28" t="s">
        <v>2</v>
      </c>
      <c r="J59" s="21">
        <v>14</v>
      </c>
      <c r="K59" s="34">
        <v>34.97</v>
      </c>
      <c r="L59" s="31">
        <f t="shared" si="0"/>
        <v>489.58</v>
      </c>
      <c r="M59" t="str">
        <f t="shared" si="1"/>
        <v>Low Value Product</v>
      </c>
      <c r="N59" t="str">
        <f t="shared" si="2"/>
        <v>Low Revenue Product</v>
      </c>
    </row>
    <row r="60" spans="1:14" x14ac:dyDescent="0.35">
      <c r="A60" s="15" t="s">
        <v>386</v>
      </c>
      <c r="B60" s="16" t="s">
        <v>172</v>
      </c>
      <c r="C60" s="16" t="s">
        <v>480</v>
      </c>
      <c r="D60" s="17" t="s">
        <v>480</v>
      </c>
      <c r="E60" s="18" t="s">
        <v>476</v>
      </c>
      <c r="F60" s="16">
        <v>155</v>
      </c>
      <c r="G60" s="16">
        <v>38089400</v>
      </c>
      <c r="H60" s="16" t="s">
        <v>309</v>
      </c>
      <c r="I60" s="27" t="s">
        <v>2</v>
      </c>
      <c r="J60" s="18">
        <v>0.14000000000000001</v>
      </c>
      <c r="K60" s="33">
        <v>186.41</v>
      </c>
      <c r="L60" s="31">
        <f t="shared" si="0"/>
        <v>26.0974</v>
      </c>
      <c r="M60" t="str">
        <f t="shared" si="1"/>
        <v>Low Value Product</v>
      </c>
      <c r="N60" t="str">
        <f t="shared" si="2"/>
        <v>Low Revenue Product</v>
      </c>
    </row>
    <row r="61" spans="1:14" x14ac:dyDescent="0.35">
      <c r="A61" s="19" t="s">
        <v>386</v>
      </c>
      <c r="B61" s="18" t="s">
        <v>60</v>
      </c>
      <c r="C61" s="18" t="s">
        <v>61</v>
      </c>
      <c r="D61" s="7">
        <v>724</v>
      </c>
      <c r="E61" s="18" t="s">
        <v>477</v>
      </c>
      <c r="F61" s="18">
        <v>39</v>
      </c>
      <c r="G61" s="18">
        <v>13019045</v>
      </c>
      <c r="H61" s="18" t="s">
        <v>92</v>
      </c>
      <c r="I61" s="28" t="s">
        <v>21</v>
      </c>
      <c r="J61" s="21">
        <v>0.03</v>
      </c>
      <c r="K61" s="34">
        <v>5.53</v>
      </c>
      <c r="L61" s="31">
        <f t="shared" si="0"/>
        <v>0.16589999999999999</v>
      </c>
      <c r="M61" t="str">
        <f t="shared" si="1"/>
        <v>Low Value Product</v>
      </c>
      <c r="N61" t="str">
        <f t="shared" si="2"/>
        <v>Low Revenue Product</v>
      </c>
    </row>
    <row r="62" spans="1:14" x14ac:dyDescent="0.35">
      <c r="A62" s="15" t="s">
        <v>386</v>
      </c>
      <c r="B62" s="16" t="s">
        <v>60</v>
      </c>
      <c r="C62" s="16" t="s">
        <v>61</v>
      </c>
      <c r="D62" s="17">
        <v>724</v>
      </c>
      <c r="E62" s="18" t="s">
        <v>477</v>
      </c>
      <c r="F62" s="16">
        <v>39</v>
      </c>
      <c r="G62" s="16">
        <v>62044190</v>
      </c>
      <c r="H62" s="16" t="s">
        <v>213</v>
      </c>
      <c r="I62" s="27" t="s">
        <v>21</v>
      </c>
      <c r="J62" s="18">
        <v>0</v>
      </c>
      <c r="K62" s="33">
        <v>1.04</v>
      </c>
      <c r="L62" s="31">
        <f t="shared" si="0"/>
        <v>0</v>
      </c>
      <c r="M62" t="str">
        <f t="shared" si="1"/>
        <v>Low Value Product</v>
      </c>
      <c r="N62" t="str">
        <f t="shared" si="2"/>
        <v>Low Revenue Product</v>
      </c>
    </row>
    <row r="63" spans="1:14" x14ac:dyDescent="0.35">
      <c r="A63" s="19" t="s">
        <v>386</v>
      </c>
      <c r="B63" s="18" t="s">
        <v>25</v>
      </c>
      <c r="C63" s="18" t="s">
        <v>26</v>
      </c>
      <c r="D63" s="7">
        <v>688</v>
      </c>
      <c r="E63" s="18" t="s">
        <v>477</v>
      </c>
      <c r="F63" s="18">
        <v>39</v>
      </c>
      <c r="G63" s="18">
        <v>29372900</v>
      </c>
      <c r="H63" s="18" t="s">
        <v>552</v>
      </c>
      <c r="I63" s="28" t="s">
        <v>21</v>
      </c>
      <c r="J63" s="21">
        <v>0</v>
      </c>
      <c r="K63" s="34">
        <v>74.849999999999994</v>
      </c>
      <c r="L63" s="31">
        <f t="shared" si="0"/>
        <v>0</v>
      </c>
      <c r="M63" t="str">
        <f t="shared" si="1"/>
        <v>Low Value Product</v>
      </c>
      <c r="N63" t="str">
        <f t="shared" si="2"/>
        <v>Low Revenue Product</v>
      </c>
    </row>
    <row r="64" spans="1:14" x14ac:dyDescent="0.35">
      <c r="A64" s="19" t="s">
        <v>386</v>
      </c>
      <c r="B64" s="18" t="s">
        <v>86</v>
      </c>
      <c r="C64" s="18" t="s">
        <v>87</v>
      </c>
      <c r="D64" s="7">
        <v>40</v>
      </c>
      <c r="E64" s="18" t="s">
        <v>476</v>
      </c>
      <c r="F64" s="18">
        <v>155</v>
      </c>
      <c r="G64" s="18">
        <v>33049990</v>
      </c>
      <c r="H64" s="18" t="s">
        <v>10</v>
      </c>
      <c r="I64" s="27" t="s">
        <v>17</v>
      </c>
      <c r="J64" s="18">
        <v>0</v>
      </c>
      <c r="K64" s="33">
        <v>0.06</v>
      </c>
      <c r="L64" s="31">
        <f t="shared" si="0"/>
        <v>0</v>
      </c>
      <c r="M64" t="str">
        <f t="shared" si="1"/>
        <v>Low Value Product</v>
      </c>
      <c r="N64" t="str">
        <f t="shared" si="2"/>
        <v>Low Revenue Product</v>
      </c>
    </row>
    <row r="65" spans="1:14" x14ac:dyDescent="0.35">
      <c r="A65" s="20" t="s">
        <v>386</v>
      </c>
      <c r="B65" s="21" t="s">
        <v>22</v>
      </c>
      <c r="C65" s="21" t="s">
        <v>23</v>
      </c>
      <c r="D65" s="8">
        <v>380</v>
      </c>
      <c r="E65" s="18" t="s">
        <v>477</v>
      </c>
      <c r="F65" s="21">
        <v>39</v>
      </c>
      <c r="G65" s="21">
        <v>84137099</v>
      </c>
      <c r="H65" s="21" t="s">
        <v>10</v>
      </c>
      <c r="I65" s="28" t="s">
        <v>2</v>
      </c>
      <c r="J65" s="21">
        <v>0.85</v>
      </c>
      <c r="K65" s="34">
        <v>2.59</v>
      </c>
      <c r="L65" s="31">
        <f t="shared" si="0"/>
        <v>2.2014999999999998</v>
      </c>
      <c r="M65" t="str">
        <f t="shared" si="1"/>
        <v>Low Value Product</v>
      </c>
      <c r="N65" t="str">
        <f t="shared" si="2"/>
        <v>Low Revenue Product</v>
      </c>
    </row>
    <row r="66" spans="1:14" x14ac:dyDescent="0.35">
      <c r="A66" s="15" t="s">
        <v>387</v>
      </c>
      <c r="B66" s="16" t="s">
        <v>14</v>
      </c>
      <c r="C66" s="16" t="s">
        <v>15</v>
      </c>
      <c r="D66" s="17">
        <v>250</v>
      </c>
      <c r="E66" s="18" t="s">
        <v>476</v>
      </c>
      <c r="F66" s="16">
        <v>155</v>
      </c>
      <c r="G66" s="16">
        <v>69029010</v>
      </c>
      <c r="H66" s="16" t="s">
        <v>187</v>
      </c>
      <c r="I66" s="27" t="s">
        <v>2</v>
      </c>
      <c r="J66" s="18">
        <v>78.88</v>
      </c>
      <c r="K66" s="33">
        <v>684.21</v>
      </c>
      <c r="L66" s="31">
        <f t="shared" si="0"/>
        <v>53970.484799999998</v>
      </c>
      <c r="M66" t="str">
        <f t="shared" si="1"/>
        <v>Low Value Product</v>
      </c>
      <c r="N66" t="str">
        <f t="shared" si="2"/>
        <v>Medium Revenue Product</v>
      </c>
    </row>
    <row r="67" spans="1:14" x14ac:dyDescent="0.35">
      <c r="A67" s="19" t="s">
        <v>387</v>
      </c>
      <c r="B67" s="18" t="s">
        <v>83</v>
      </c>
      <c r="C67" s="18" t="s">
        <v>84</v>
      </c>
      <c r="D67" s="7">
        <v>804</v>
      </c>
      <c r="E67" s="18" t="s">
        <v>479</v>
      </c>
      <c r="F67" s="18">
        <v>151</v>
      </c>
      <c r="G67" s="18">
        <v>84842000</v>
      </c>
      <c r="H67" s="18" t="s">
        <v>189</v>
      </c>
      <c r="I67" s="28" t="s">
        <v>2</v>
      </c>
      <c r="J67" s="21">
        <v>0.02</v>
      </c>
      <c r="K67" s="34">
        <v>3.88</v>
      </c>
      <c r="L67" s="31">
        <f t="shared" ref="L67:L130" si="3">J67*K67</f>
        <v>7.7600000000000002E-2</v>
      </c>
      <c r="M67" t="str">
        <f t="shared" ref="M67:M130" si="4">IF(K67&lt;=1000,"Low Value Product",IF(K67&lt;=2000,"Moderate Value Product","High Value Product"))</f>
        <v>Low Value Product</v>
      </c>
      <c r="N67" t="str">
        <f t="shared" ref="N67:N130" si="5">IF(L67&lt;50000,"Low Revenue Product",IF(L67&lt;100000,"Medium Revenue Product","High Revenue Product"))</f>
        <v>Low Revenue Product</v>
      </c>
    </row>
    <row r="68" spans="1:14" x14ac:dyDescent="0.35">
      <c r="A68" s="19" t="s">
        <v>387</v>
      </c>
      <c r="B68" s="18" t="s">
        <v>370</v>
      </c>
      <c r="C68" s="18" t="s">
        <v>0</v>
      </c>
      <c r="D68" s="7">
        <v>826</v>
      </c>
      <c r="E68" s="18" t="s">
        <v>478</v>
      </c>
      <c r="F68" s="18">
        <v>154</v>
      </c>
      <c r="G68" s="18">
        <v>4059090</v>
      </c>
      <c r="H68" s="18" t="s">
        <v>553</v>
      </c>
      <c r="I68" s="27" t="s">
        <v>2</v>
      </c>
      <c r="J68" s="18">
        <v>0.02</v>
      </c>
      <c r="K68" s="33">
        <v>0.16</v>
      </c>
      <c r="L68" s="31">
        <f t="shared" si="3"/>
        <v>3.2000000000000002E-3</v>
      </c>
      <c r="M68" t="str">
        <f t="shared" si="4"/>
        <v>Low Value Product</v>
      </c>
      <c r="N68" t="str">
        <f t="shared" si="5"/>
        <v>Low Revenue Product</v>
      </c>
    </row>
    <row r="69" spans="1:14" x14ac:dyDescent="0.35">
      <c r="A69" s="19" t="s">
        <v>387</v>
      </c>
      <c r="B69" s="18" t="s">
        <v>60</v>
      </c>
      <c r="C69" s="18" t="s">
        <v>61</v>
      </c>
      <c r="D69" s="7">
        <v>724</v>
      </c>
      <c r="E69" s="18" t="s">
        <v>477</v>
      </c>
      <c r="F69" s="18">
        <v>39</v>
      </c>
      <c r="G69" s="18">
        <v>84219900</v>
      </c>
      <c r="H69" s="18" t="s">
        <v>554</v>
      </c>
      <c r="I69" s="28" t="s">
        <v>2</v>
      </c>
      <c r="J69" s="21">
        <v>41.49</v>
      </c>
      <c r="K69" s="34">
        <v>296.10000000000002</v>
      </c>
      <c r="L69" s="31">
        <f t="shared" si="3"/>
        <v>12285.189000000002</v>
      </c>
      <c r="M69" t="str">
        <f t="shared" si="4"/>
        <v>Low Value Product</v>
      </c>
      <c r="N69" t="str">
        <f t="shared" si="5"/>
        <v>Low Revenue Product</v>
      </c>
    </row>
    <row r="70" spans="1:14" x14ac:dyDescent="0.35">
      <c r="A70" s="15" t="s">
        <v>387</v>
      </c>
      <c r="B70" s="16" t="s">
        <v>48</v>
      </c>
      <c r="C70" s="16" t="s">
        <v>49</v>
      </c>
      <c r="D70" s="17">
        <v>246</v>
      </c>
      <c r="E70" s="18" t="s">
        <v>478</v>
      </c>
      <c r="F70" s="16">
        <v>154</v>
      </c>
      <c r="G70" s="16">
        <v>29359090</v>
      </c>
      <c r="H70" s="16" t="s">
        <v>10</v>
      </c>
      <c r="I70" s="27" t="s">
        <v>2</v>
      </c>
      <c r="J70" s="18">
        <v>0</v>
      </c>
      <c r="K70" s="33">
        <v>0.09</v>
      </c>
      <c r="L70" s="31">
        <f t="shared" si="3"/>
        <v>0</v>
      </c>
      <c r="M70" t="str">
        <f t="shared" si="4"/>
        <v>Low Value Product</v>
      </c>
      <c r="N70" t="str">
        <f t="shared" si="5"/>
        <v>Low Revenue Product</v>
      </c>
    </row>
    <row r="71" spans="1:14" x14ac:dyDescent="0.35">
      <c r="A71" s="20" t="s">
        <v>387</v>
      </c>
      <c r="B71" s="21" t="s">
        <v>370</v>
      </c>
      <c r="C71" s="21" t="s">
        <v>0</v>
      </c>
      <c r="D71" s="8">
        <v>826</v>
      </c>
      <c r="E71" s="18" t="s">
        <v>478</v>
      </c>
      <c r="F71" s="21">
        <v>154</v>
      </c>
      <c r="G71" s="21">
        <v>84839000</v>
      </c>
      <c r="H71" s="21" t="s">
        <v>67</v>
      </c>
      <c r="I71" s="28" t="s">
        <v>188</v>
      </c>
      <c r="J71" s="21">
        <v>0.02</v>
      </c>
      <c r="K71" s="34">
        <v>3.8</v>
      </c>
      <c r="L71" s="31">
        <f t="shared" si="3"/>
        <v>7.5999999999999998E-2</v>
      </c>
      <c r="M71" t="str">
        <f t="shared" si="4"/>
        <v>Low Value Product</v>
      </c>
      <c r="N71" t="str">
        <f t="shared" si="5"/>
        <v>Low Revenue Product</v>
      </c>
    </row>
    <row r="72" spans="1:14" x14ac:dyDescent="0.35">
      <c r="A72" s="19" t="s">
        <v>388</v>
      </c>
      <c r="B72" s="18" t="s">
        <v>370</v>
      </c>
      <c r="C72" s="18" t="s">
        <v>0</v>
      </c>
      <c r="D72" s="7">
        <v>826</v>
      </c>
      <c r="E72" s="18" t="s">
        <v>478</v>
      </c>
      <c r="F72" s="18">
        <v>154</v>
      </c>
      <c r="G72" s="18">
        <v>87142090</v>
      </c>
      <c r="H72" s="18" t="s">
        <v>10</v>
      </c>
      <c r="I72" s="27" t="s">
        <v>2</v>
      </c>
      <c r="J72" s="18">
        <v>14.04</v>
      </c>
      <c r="K72" s="33">
        <v>116.54</v>
      </c>
      <c r="L72" s="31">
        <f t="shared" si="3"/>
        <v>1636.2216000000001</v>
      </c>
      <c r="M72" t="str">
        <f t="shared" si="4"/>
        <v>Low Value Product</v>
      </c>
      <c r="N72" t="str">
        <f t="shared" si="5"/>
        <v>Low Revenue Product</v>
      </c>
    </row>
    <row r="73" spans="1:14" x14ac:dyDescent="0.35">
      <c r="A73" s="19" t="s">
        <v>388</v>
      </c>
      <c r="B73" s="18" t="s">
        <v>369</v>
      </c>
      <c r="C73" s="18" t="s">
        <v>3</v>
      </c>
      <c r="D73" s="7">
        <v>528</v>
      </c>
      <c r="E73" s="18" t="s">
        <v>476</v>
      </c>
      <c r="F73" s="18">
        <v>155</v>
      </c>
      <c r="G73" s="18">
        <v>84839000</v>
      </c>
      <c r="H73" s="18" t="s">
        <v>67</v>
      </c>
      <c r="I73" s="28" t="s">
        <v>21</v>
      </c>
      <c r="J73" s="21">
        <v>0.5</v>
      </c>
      <c r="K73" s="34">
        <v>3.47</v>
      </c>
      <c r="L73" s="31">
        <f t="shared" si="3"/>
        <v>1.7350000000000001</v>
      </c>
      <c r="M73" t="str">
        <f t="shared" si="4"/>
        <v>Low Value Product</v>
      </c>
      <c r="N73" t="str">
        <f t="shared" si="5"/>
        <v>Low Revenue Product</v>
      </c>
    </row>
    <row r="74" spans="1:14" x14ac:dyDescent="0.35">
      <c r="A74" s="15" t="s">
        <v>388</v>
      </c>
      <c r="B74" s="16" t="s">
        <v>51</v>
      </c>
      <c r="C74" s="16" t="s">
        <v>52</v>
      </c>
      <c r="D74" s="17">
        <v>616</v>
      </c>
      <c r="E74" s="18" t="s">
        <v>479</v>
      </c>
      <c r="F74" s="16">
        <v>151</v>
      </c>
      <c r="G74" s="16">
        <v>85124000</v>
      </c>
      <c r="H74" s="16" t="s">
        <v>555</v>
      </c>
      <c r="I74" s="27" t="s">
        <v>2</v>
      </c>
      <c r="J74" s="18">
        <v>0.85</v>
      </c>
      <c r="K74" s="33">
        <v>4.55</v>
      </c>
      <c r="L74" s="31">
        <f t="shared" si="3"/>
        <v>3.8674999999999997</v>
      </c>
      <c r="M74" t="str">
        <f t="shared" si="4"/>
        <v>Low Value Product</v>
      </c>
      <c r="N74" t="str">
        <f t="shared" si="5"/>
        <v>Low Revenue Product</v>
      </c>
    </row>
    <row r="75" spans="1:14" x14ac:dyDescent="0.35">
      <c r="A75" s="20" t="s">
        <v>389</v>
      </c>
      <c r="B75" s="21" t="s">
        <v>55</v>
      </c>
      <c r="C75" s="21" t="s">
        <v>56</v>
      </c>
      <c r="D75" s="8">
        <v>276</v>
      </c>
      <c r="E75" s="18" t="s">
        <v>476</v>
      </c>
      <c r="F75" s="21">
        <v>155</v>
      </c>
      <c r="G75" s="21">
        <v>33019024</v>
      </c>
      <c r="H75" s="21" t="s">
        <v>253</v>
      </c>
      <c r="I75" s="28" t="s">
        <v>2</v>
      </c>
      <c r="J75" s="21">
        <v>17.149999999999999</v>
      </c>
      <c r="K75" s="34">
        <v>210.97</v>
      </c>
      <c r="L75" s="31">
        <f t="shared" si="3"/>
        <v>3618.1354999999999</v>
      </c>
      <c r="M75" t="str">
        <f t="shared" si="4"/>
        <v>Low Value Product</v>
      </c>
      <c r="N75" t="str">
        <f t="shared" si="5"/>
        <v>Low Revenue Product</v>
      </c>
    </row>
    <row r="76" spans="1:14" x14ac:dyDescent="0.35">
      <c r="A76" s="19" t="s">
        <v>389</v>
      </c>
      <c r="B76" s="18" t="s">
        <v>370</v>
      </c>
      <c r="C76" s="18" t="s">
        <v>0</v>
      </c>
      <c r="D76" s="7">
        <v>826</v>
      </c>
      <c r="E76" s="18" t="s">
        <v>478</v>
      </c>
      <c r="F76" s="18">
        <v>154</v>
      </c>
      <c r="G76" s="18">
        <v>85489000</v>
      </c>
      <c r="H76" s="18" t="s">
        <v>10</v>
      </c>
      <c r="I76" s="27" t="s">
        <v>2</v>
      </c>
      <c r="J76" s="18">
        <v>0.06</v>
      </c>
      <c r="K76" s="33">
        <v>1.1399999999999999</v>
      </c>
      <c r="L76" s="31">
        <f t="shared" si="3"/>
        <v>6.8399999999999989E-2</v>
      </c>
      <c r="M76" t="str">
        <f t="shared" si="4"/>
        <v>Low Value Product</v>
      </c>
      <c r="N76" t="str">
        <f t="shared" si="5"/>
        <v>Low Revenue Product</v>
      </c>
    </row>
    <row r="77" spans="1:14" x14ac:dyDescent="0.35">
      <c r="A77" s="20" t="s">
        <v>389</v>
      </c>
      <c r="B77" s="21" t="s">
        <v>369</v>
      </c>
      <c r="C77" s="21" t="s">
        <v>3</v>
      </c>
      <c r="D77" s="8">
        <v>528</v>
      </c>
      <c r="E77" s="18" t="s">
        <v>476</v>
      </c>
      <c r="F77" s="21">
        <v>155</v>
      </c>
      <c r="G77" s="21">
        <v>32041650</v>
      </c>
      <c r="H77" s="21" t="s">
        <v>349</v>
      </c>
      <c r="I77" s="28" t="s">
        <v>2</v>
      </c>
      <c r="J77" s="21">
        <v>0.3</v>
      </c>
      <c r="K77" s="34">
        <v>5.07</v>
      </c>
      <c r="L77" s="31">
        <f t="shared" si="3"/>
        <v>1.5210000000000001</v>
      </c>
      <c r="M77" t="str">
        <f t="shared" si="4"/>
        <v>Low Value Product</v>
      </c>
      <c r="N77" t="str">
        <f t="shared" si="5"/>
        <v>Low Revenue Product</v>
      </c>
    </row>
    <row r="78" spans="1:14" x14ac:dyDescent="0.35">
      <c r="A78" s="15" t="s">
        <v>390</v>
      </c>
      <c r="B78" s="16" t="s">
        <v>11</v>
      </c>
      <c r="C78" s="16" t="s">
        <v>12</v>
      </c>
      <c r="D78" s="17">
        <v>643</v>
      </c>
      <c r="E78" s="18" t="s">
        <v>479</v>
      </c>
      <c r="F78" s="16">
        <v>151</v>
      </c>
      <c r="G78" s="16">
        <v>13021918</v>
      </c>
      <c r="H78" s="16" t="s">
        <v>13</v>
      </c>
      <c r="I78" s="27" t="s">
        <v>2</v>
      </c>
      <c r="J78" s="18">
        <v>8.33</v>
      </c>
      <c r="K78" s="33">
        <v>1.68</v>
      </c>
      <c r="L78" s="31">
        <f t="shared" si="3"/>
        <v>13.994399999999999</v>
      </c>
      <c r="M78" t="str">
        <f t="shared" si="4"/>
        <v>Low Value Product</v>
      </c>
      <c r="N78" t="str">
        <f t="shared" si="5"/>
        <v>Low Revenue Product</v>
      </c>
    </row>
    <row r="79" spans="1:14" x14ac:dyDescent="0.35">
      <c r="A79" s="19" t="s">
        <v>390</v>
      </c>
      <c r="B79" s="18" t="s">
        <v>370</v>
      </c>
      <c r="C79" s="18" t="s">
        <v>0</v>
      </c>
      <c r="D79" s="7">
        <v>826</v>
      </c>
      <c r="E79" s="18" t="s">
        <v>478</v>
      </c>
      <c r="F79" s="18">
        <v>154</v>
      </c>
      <c r="G79" s="18">
        <v>60011090</v>
      </c>
      <c r="H79" s="18" t="s">
        <v>556</v>
      </c>
      <c r="I79" s="28" t="s">
        <v>2</v>
      </c>
      <c r="J79" s="21">
        <v>3.5</v>
      </c>
      <c r="K79" s="34">
        <v>36.17</v>
      </c>
      <c r="L79" s="31">
        <f t="shared" si="3"/>
        <v>126.595</v>
      </c>
      <c r="M79" t="str">
        <f t="shared" si="4"/>
        <v>Low Value Product</v>
      </c>
      <c r="N79" t="str">
        <f t="shared" si="5"/>
        <v>Low Revenue Product</v>
      </c>
    </row>
    <row r="80" spans="1:14" x14ac:dyDescent="0.35">
      <c r="A80" s="19" t="s">
        <v>390</v>
      </c>
      <c r="B80" s="18" t="s">
        <v>62</v>
      </c>
      <c r="C80" s="18" t="s">
        <v>63</v>
      </c>
      <c r="D80" s="7">
        <v>752</v>
      </c>
      <c r="E80" s="18" t="s">
        <v>478</v>
      </c>
      <c r="F80" s="18">
        <v>154</v>
      </c>
      <c r="G80" s="18">
        <v>70109000</v>
      </c>
      <c r="H80" s="18" t="s">
        <v>557</v>
      </c>
      <c r="I80" s="27" t="s">
        <v>2</v>
      </c>
      <c r="J80" s="18">
        <v>1.92</v>
      </c>
      <c r="K80" s="33">
        <v>6.99</v>
      </c>
      <c r="L80" s="31">
        <f t="shared" si="3"/>
        <v>13.4208</v>
      </c>
      <c r="M80" t="str">
        <f t="shared" si="4"/>
        <v>Low Value Product</v>
      </c>
      <c r="N80" t="str">
        <f t="shared" si="5"/>
        <v>Low Revenue Product</v>
      </c>
    </row>
    <row r="81" spans="1:14" x14ac:dyDescent="0.35">
      <c r="A81" s="19" t="s">
        <v>390</v>
      </c>
      <c r="B81" s="18" t="s">
        <v>78</v>
      </c>
      <c r="C81" s="18" t="s">
        <v>79</v>
      </c>
      <c r="D81" s="7">
        <v>208</v>
      </c>
      <c r="E81" s="18" t="s">
        <v>478</v>
      </c>
      <c r="F81" s="18">
        <v>154</v>
      </c>
      <c r="G81" s="18">
        <v>95069980</v>
      </c>
      <c r="H81" s="18" t="s">
        <v>338</v>
      </c>
      <c r="I81" s="28" t="s">
        <v>2</v>
      </c>
      <c r="J81" s="21">
        <v>2.95</v>
      </c>
      <c r="K81" s="34">
        <v>74.41</v>
      </c>
      <c r="L81" s="31">
        <f t="shared" si="3"/>
        <v>219.5095</v>
      </c>
      <c r="M81" t="str">
        <f t="shared" si="4"/>
        <v>Low Value Product</v>
      </c>
      <c r="N81" t="str">
        <f t="shared" si="5"/>
        <v>Low Revenue Product</v>
      </c>
    </row>
    <row r="82" spans="1:14" x14ac:dyDescent="0.35">
      <c r="A82" s="15" t="s">
        <v>390</v>
      </c>
      <c r="B82" s="16" t="s">
        <v>55</v>
      </c>
      <c r="C82" s="16" t="s">
        <v>56</v>
      </c>
      <c r="D82" s="17">
        <v>276</v>
      </c>
      <c r="E82" s="18" t="s">
        <v>476</v>
      </c>
      <c r="F82" s="16">
        <v>155</v>
      </c>
      <c r="G82" s="16">
        <v>82076090</v>
      </c>
      <c r="H82" s="16" t="s">
        <v>136</v>
      </c>
      <c r="I82" s="27" t="s">
        <v>21</v>
      </c>
      <c r="J82" s="18">
        <v>13.88</v>
      </c>
      <c r="K82" s="33">
        <v>26.77</v>
      </c>
      <c r="L82" s="31">
        <f t="shared" si="3"/>
        <v>371.56760000000003</v>
      </c>
      <c r="M82" t="str">
        <f t="shared" si="4"/>
        <v>Low Value Product</v>
      </c>
      <c r="N82" t="str">
        <f t="shared" si="5"/>
        <v>Low Revenue Product</v>
      </c>
    </row>
    <row r="83" spans="1:14" x14ac:dyDescent="0.35">
      <c r="A83" s="20" t="s">
        <v>390</v>
      </c>
      <c r="B83" s="21" t="s">
        <v>44</v>
      </c>
      <c r="C83" s="21" t="s">
        <v>45</v>
      </c>
      <c r="D83" s="8">
        <v>56</v>
      </c>
      <c r="E83" s="18" t="s">
        <v>476</v>
      </c>
      <c r="F83" s="21">
        <v>155</v>
      </c>
      <c r="G83" s="21">
        <v>48201090</v>
      </c>
      <c r="H83" s="21" t="s">
        <v>10</v>
      </c>
      <c r="I83" s="28" t="s">
        <v>2</v>
      </c>
      <c r="J83" s="21">
        <v>0.02</v>
      </c>
      <c r="K83" s="34">
        <v>0.03</v>
      </c>
      <c r="L83" s="31">
        <f t="shared" si="3"/>
        <v>5.9999999999999995E-4</v>
      </c>
      <c r="M83" t="str">
        <f t="shared" si="4"/>
        <v>Low Value Product</v>
      </c>
      <c r="N83" t="str">
        <f t="shared" si="5"/>
        <v>Low Revenue Product</v>
      </c>
    </row>
    <row r="84" spans="1:14" x14ac:dyDescent="0.35">
      <c r="A84" s="15" t="s">
        <v>391</v>
      </c>
      <c r="B84" s="16" t="s">
        <v>14</v>
      </c>
      <c r="C84" s="16" t="s">
        <v>15</v>
      </c>
      <c r="D84" s="17">
        <v>250</v>
      </c>
      <c r="E84" s="18" t="s">
        <v>476</v>
      </c>
      <c r="F84" s="16">
        <v>155</v>
      </c>
      <c r="G84" s="16">
        <v>29393000</v>
      </c>
      <c r="H84" s="16" t="s">
        <v>221</v>
      </c>
      <c r="I84" s="27" t="s">
        <v>2</v>
      </c>
      <c r="J84" s="18">
        <v>1</v>
      </c>
      <c r="K84" s="33">
        <v>0</v>
      </c>
      <c r="L84" s="31">
        <f t="shared" si="3"/>
        <v>0</v>
      </c>
      <c r="M84" t="str">
        <f t="shared" si="4"/>
        <v>Low Value Product</v>
      </c>
      <c r="N84" t="str">
        <f t="shared" si="5"/>
        <v>Low Revenue Product</v>
      </c>
    </row>
    <row r="85" spans="1:14" x14ac:dyDescent="0.35">
      <c r="A85" s="19" t="s">
        <v>391</v>
      </c>
      <c r="B85" s="18" t="s">
        <v>65</v>
      </c>
      <c r="C85" s="18" t="s">
        <v>66</v>
      </c>
      <c r="D85" s="7">
        <v>470</v>
      </c>
      <c r="E85" s="18" t="s">
        <v>477</v>
      </c>
      <c r="F85" s="18">
        <v>39</v>
      </c>
      <c r="G85" s="18">
        <v>30042033</v>
      </c>
      <c r="H85" s="18" t="s">
        <v>343</v>
      </c>
      <c r="I85" s="28" t="s">
        <v>2</v>
      </c>
      <c r="J85" s="21">
        <v>2494</v>
      </c>
      <c r="K85" s="34">
        <v>0.31</v>
      </c>
      <c r="L85" s="31">
        <f t="shared" si="3"/>
        <v>773.14</v>
      </c>
      <c r="M85" t="str">
        <f t="shared" si="4"/>
        <v>Low Value Product</v>
      </c>
      <c r="N85" t="str">
        <f t="shared" si="5"/>
        <v>Low Revenue Product</v>
      </c>
    </row>
    <row r="86" spans="1:14" x14ac:dyDescent="0.35">
      <c r="A86" s="19" t="s">
        <v>391</v>
      </c>
      <c r="B86" s="18" t="s">
        <v>44</v>
      </c>
      <c r="C86" s="18" t="s">
        <v>45</v>
      </c>
      <c r="D86" s="7">
        <v>56</v>
      </c>
      <c r="E86" s="18" t="s">
        <v>476</v>
      </c>
      <c r="F86" s="18">
        <v>155</v>
      </c>
      <c r="G86" s="18">
        <v>28500010</v>
      </c>
      <c r="H86" s="18" t="s">
        <v>288</v>
      </c>
      <c r="I86" s="27" t="s">
        <v>2</v>
      </c>
      <c r="J86" s="18">
        <v>527</v>
      </c>
      <c r="K86" s="33">
        <v>0.24</v>
      </c>
      <c r="L86" s="31">
        <f t="shared" si="3"/>
        <v>126.47999999999999</v>
      </c>
      <c r="M86" t="str">
        <f t="shared" si="4"/>
        <v>Low Value Product</v>
      </c>
      <c r="N86" t="str">
        <f t="shared" si="5"/>
        <v>Low Revenue Product</v>
      </c>
    </row>
    <row r="87" spans="1:14" x14ac:dyDescent="0.35">
      <c r="A87" s="20" t="s">
        <v>391</v>
      </c>
      <c r="B87" s="21" t="s">
        <v>40</v>
      </c>
      <c r="C87" s="21" t="s">
        <v>41</v>
      </c>
      <c r="D87" s="8">
        <v>642</v>
      </c>
      <c r="E87" s="18" t="s">
        <v>479</v>
      </c>
      <c r="F87" s="21">
        <v>151</v>
      </c>
      <c r="G87" s="21">
        <v>73181900</v>
      </c>
      <c r="H87" s="21" t="s">
        <v>195</v>
      </c>
      <c r="I87" s="28" t="s">
        <v>2</v>
      </c>
      <c r="J87" s="21">
        <v>3000</v>
      </c>
      <c r="K87" s="34">
        <v>0.98</v>
      </c>
      <c r="L87" s="31">
        <f t="shared" si="3"/>
        <v>2940</v>
      </c>
      <c r="M87" t="str">
        <f t="shared" si="4"/>
        <v>Low Value Product</v>
      </c>
      <c r="N87" t="str">
        <f t="shared" si="5"/>
        <v>Low Revenue Product</v>
      </c>
    </row>
    <row r="88" spans="1:14" x14ac:dyDescent="0.35">
      <c r="A88" s="19" t="s">
        <v>391</v>
      </c>
      <c r="B88" s="18" t="s">
        <v>11</v>
      </c>
      <c r="C88" s="18" t="s">
        <v>12</v>
      </c>
      <c r="D88" s="7">
        <v>643</v>
      </c>
      <c r="E88" s="18" t="s">
        <v>479</v>
      </c>
      <c r="F88" s="18">
        <v>151</v>
      </c>
      <c r="G88" s="18">
        <v>84139190</v>
      </c>
      <c r="H88" s="18" t="s">
        <v>10</v>
      </c>
      <c r="I88" s="27" t="s">
        <v>2</v>
      </c>
      <c r="J88" s="18">
        <v>2500</v>
      </c>
      <c r="K88" s="33">
        <v>0.27</v>
      </c>
      <c r="L88" s="31">
        <f t="shared" si="3"/>
        <v>675</v>
      </c>
      <c r="M88" t="str">
        <f t="shared" si="4"/>
        <v>Low Value Product</v>
      </c>
      <c r="N88" t="str">
        <f t="shared" si="5"/>
        <v>Low Revenue Product</v>
      </c>
    </row>
    <row r="89" spans="1:14" x14ac:dyDescent="0.35">
      <c r="A89" s="20" t="s">
        <v>392</v>
      </c>
      <c r="B89" s="21" t="s">
        <v>29</v>
      </c>
      <c r="C89" s="21" t="s">
        <v>30</v>
      </c>
      <c r="D89" s="8">
        <v>191</v>
      </c>
      <c r="E89" s="18" t="s">
        <v>477</v>
      </c>
      <c r="F89" s="21">
        <v>39</v>
      </c>
      <c r="G89" s="21">
        <v>84663010</v>
      </c>
      <c r="H89" s="21" t="s">
        <v>558</v>
      </c>
      <c r="I89" s="28" t="s">
        <v>2</v>
      </c>
      <c r="J89" s="21">
        <v>0.08</v>
      </c>
      <c r="K89" s="34">
        <v>0.96</v>
      </c>
      <c r="L89" s="31">
        <f t="shared" si="3"/>
        <v>7.6799999999999993E-2</v>
      </c>
      <c r="M89" t="str">
        <f t="shared" si="4"/>
        <v>Low Value Product</v>
      </c>
      <c r="N89" t="str">
        <f t="shared" si="5"/>
        <v>Low Revenue Product</v>
      </c>
    </row>
    <row r="90" spans="1:14" x14ac:dyDescent="0.35">
      <c r="A90" s="15" t="s">
        <v>392</v>
      </c>
      <c r="B90" s="16" t="s">
        <v>55</v>
      </c>
      <c r="C90" s="16" t="s">
        <v>56</v>
      </c>
      <c r="D90" s="17">
        <v>276</v>
      </c>
      <c r="E90" s="18" t="s">
        <v>476</v>
      </c>
      <c r="F90" s="16">
        <v>155</v>
      </c>
      <c r="G90" s="16">
        <v>48209090</v>
      </c>
      <c r="H90" s="16" t="s">
        <v>10</v>
      </c>
      <c r="I90" s="27" t="s">
        <v>2</v>
      </c>
      <c r="J90" s="18">
        <v>2.98</v>
      </c>
      <c r="K90" s="33">
        <v>3.57</v>
      </c>
      <c r="L90" s="31">
        <f t="shared" si="3"/>
        <v>10.6386</v>
      </c>
      <c r="M90" t="str">
        <f t="shared" si="4"/>
        <v>Low Value Product</v>
      </c>
      <c r="N90" t="str">
        <f t="shared" si="5"/>
        <v>Low Revenue Product</v>
      </c>
    </row>
    <row r="91" spans="1:14" x14ac:dyDescent="0.35">
      <c r="A91" s="19" t="s">
        <v>392</v>
      </c>
      <c r="B91" s="18" t="s">
        <v>51</v>
      </c>
      <c r="C91" s="18" t="s">
        <v>52</v>
      </c>
      <c r="D91" s="7">
        <v>616</v>
      </c>
      <c r="E91" s="18" t="s">
        <v>479</v>
      </c>
      <c r="F91" s="18">
        <v>151</v>
      </c>
      <c r="G91" s="18">
        <v>84139190</v>
      </c>
      <c r="H91" s="18" t="s">
        <v>10</v>
      </c>
      <c r="I91" s="28" t="s">
        <v>21</v>
      </c>
      <c r="J91" s="21">
        <v>3.77</v>
      </c>
      <c r="K91" s="34">
        <v>50.31</v>
      </c>
      <c r="L91" s="31">
        <f t="shared" si="3"/>
        <v>189.6687</v>
      </c>
      <c r="M91" t="str">
        <f t="shared" si="4"/>
        <v>Low Value Product</v>
      </c>
      <c r="N91" t="str">
        <f t="shared" si="5"/>
        <v>Low Revenue Product</v>
      </c>
    </row>
    <row r="92" spans="1:14" x14ac:dyDescent="0.35">
      <c r="A92" s="19" t="s">
        <v>392</v>
      </c>
      <c r="B92" s="18" t="s">
        <v>11</v>
      </c>
      <c r="C92" s="18" t="s">
        <v>12</v>
      </c>
      <c r="D92" s="7">
        <v>643</v>
      </c>
      <c r="E92" s="18" t="s">
        <v>479</v>
      </c>
      <c r="F92" s="18">
        <v>151</v>
      </c>
      <c r="G92" s="18">
        <v>7136000</v>
      </c>
      <c r="H92" s="18" t="s">
        <v>292</v>
      </c>
      <c r="I92" s="27" t="s">
        <v>2</v>
      </c>
      <c r="J92" s="18">
        <v>42.45</v>
      </c>
      <c r="K92" s="33">
        <v>111.12</v>
      </c>
      <c r="L92" s="31">
        <f t="shared" si="3"/>
        <v>4717.0440000000008</v>
      </c>
      <c r="M92" t="str">
        <f t="shared" si="4"/>
        <v>Low Value Product</v>
      </c>
      <c r="N92" t="str">
        <f t="shared" si="5"/>
        <v>Low Revenue Product</v>
      </c>
    </row>
    <row r="93" spans="1:14" x14ac:dyDescent="0.35">
      <c r="A93" s="19" t="s">
        <v>393</v>
      </c>
      <c r="B93" s="18" t="s">
        <v>22</v>
      </c>
      <c r="C93" s="18" t="s">
        <v>23</v>
      </c>
      <c r="D93" s="7">
        <v>380</v>
      </c>
      <c r="E93" s="18" t="s">
        <v>477</v>
      </c>
      <c r="F93" s="18">
        <v>39</v>
      </c>
      <c r="G93" s="18">
        <v>73209010</v>
      </c>
      <c r="H93" s="18" t="s">
        <v>559</v>
      </c>
      <c r="I93" s="28" t="s">
        <v>2</v>
      </c>
      <c r="J93" s="21">
        <v>2.4</v>
      </c>
      <c r="K93" s="34">
        <v>9.5299999999999994</v>
      </c>
      <c r="L93" s="31">
        <f t="shared" si="3"/>
        <v>22.871999999999996</v>
      </c>
      <c r="M93" t="str">
        <f t="shared" si="4"/>
        <v>Low Value Product</v>
      </c>
      <c r="N93" t="str">
        <f t="shared" si="5"/>
        <v>Low Revenue Product</v>
      </c>
    </row>
    <row r="94" spans="1:14" x14ac:dyDescent="0.35">
      <c r="A94" s="19" t="s">
        <v>393</v>
      </c>
      <c r="B94" s="18" t="s">
        <v>29</v>
      </c>
      <c r="C94" s="18" t="s">
        <v>30</v>
      </c>
      <c r="D94" s="7">
        <v>191</v>
      </c>
      <c r="E94" s="18" t="s">
        <v>477</v>
      </c>
      <c r="F94" s="18">
        <v>39</v>
      </c>
      <c r="G94" s="18">
        <v>29232010</v>
      </c>
      <c r="H94" s="18" t="s">
        <v>239</v>
      </c>
      <c r="I94" s="27" t="s">
        <v>2</v>
      </c>
      <c r="J94" s="18">
        <v>12.15</v>
      </c>
      <c r="K94" s="33">
        <v>9.5500000000000007</v>
      </c>
      <c r="L94" s="31">
        <f t="shared" si="3"/>
        <v>116.03250000000001</v>
      </c>
      <c r="M94" t="str">
        <f t="shared" si="4"/>
        <v>Low Value Product</v>
      </c>
      <c r="N94" t="str">
        <f t="shared" si="5"/>
        <v>Low Revenue Product</v>
      </c>
    </row>
    <row r="95" spans="1:14" x14ac:dyDescent="0.35">
      <c r="A95" s="20" t="s">
        <v>393</v>
      </c>
      <c r="B95" s="21" t="s">
        <v>65</v>
      </c>
      <c r="C95" s="21" t="s">
        <v>66</v>
      </c>
      <c r="D95" s="8">
        <v>470</v>
      </c>
      <c r="E95" s="18" t="s">
        <v>477</v>
      </c>
      <c r="F95" s="21">
        <v>39</v>
      </c>
      <c r="G95" s="21">
        <v>40081110</v>
      </c>
      <c r="H95" s="21" t="s">
        <v>560</v>
      </c>
      <c r="I95" s="28" t="s">
        <v>21</v>
      </c>
      <c r="J95" s="21">
        <v>6.43</v>
      </c>
      <c r="K95" s="34">
        <v>28.55</v>
      </c>
      <c r="L95" s="31">
        <f t="shared" si="3"/>
        <v>183.57650000000001</v>
      </c>
      <c r="M95" t="str">
        <f t="shared" si="4"/>
        <v>Low Value Product</v>
      </c>
      <c r="N95" t="str">
        <f t="shared" si="5"/>
        <v>Low Revenue Product</v>
      </c>
    </row>
    <row r="96" spans="1:14" x14ac:dyDescent="0.35">
      <c r="A96" s="15" t="s">
        <v>393</v>
      </c>
      <c r="B96" s="16" t="s">
        <v>370</v>
      </c>
      <c r="C96" s="16" t="s">
        <v>0</v>
      </c>
      <c r="D96" s="17">
        <v>826</v>
      </c>
      <c r="E96" s="18" t="s">
        <v>478</v>
      </c>
      <c r="F96" s="16">
        <v>154</v>
      </c>
      <c r="G96" s="16">
        <v>61101120</v>
      </c>
      <c r="H96" s="16" t="s">
        <v>111</v>
      </c>
      <c r="I96" s="27" t="s">
        <v>2</v>
      </c>
      <c r="J96" s="18">
        <v>1.2</v>
      </c>
      <c r="K96" s="33">
        <v>12.02</v>
      </c>
      <c r="L96" s="31">
        <f t="shared" si="3"/>
        <v>14.423999999999999</v>
      </c>
      <c r="M96" t="str">
        <f t="shared" si="4"/>
        <v>Low Value Product</v>
      </c>
      <c r="N96" t="str">
        <f t="shared" si="5"/>
        <v>Low Revenue Product</v>
      </c>
    </row>
    <row r="97" spans="1:14" x14ac:dyDescent="0.35">
      <c r="A97" s="20" t="s">
        <v>394</v>
      </c>
      <c r="B97" s="21" t="s">
        <v>134</v>
      </c>
      <c r="C97" s="21" t="s">
        <v>135</v>
      </c>
      <c r="D97" s="8">
        <v>300</v>
      </c>
      <c r="E97" s="18" t="s">
        <v>477</v>
      </c>
      <c r="F97" s="21">
        <v>39</v>
      </c>
      <c r="G97" s="21">
        <v>72223012</v>
      </c>
      <c r="H97" s="21" t="s">
        <v>548</v>
      </c>
      <c r="I97" s="28" t="s">
        <v>2</v>
      </c>
      <c r="J97" s="21">
        <v>17.88</v>
      </c>
      <c r="K97" s="34">
        <v>53.35</v>
      </c>
      <c r="L97" s="31">
        <f t="shared" si="3"/>
        <v>953.89800000000002</v>
      </c>
      <c r="M97" t="str">
        <f t="shared" si="4"/>
        <v>Low Value Product</v>
      </c>
      <c r="N97" t="str">
        <f t="shared" si="5"/>
        <v>Low Revenue Product</v>
      </c>
    </row>
    <row r="98" spans="1:14" x14ac:dyDescent="0.35">
      <c r="A98" s="19" t="s">
        <v>394</v>
      </c>
      <c r="B98" s="18" t="s">
        <v>60</v>
      </c>
      <c r="C98" s="18" t="s">
        <v>61</v>
      </c>
      <c r="D98" s="7">
        <v>724</v>
      </c>
      <c r="E98" s="18" t="s">
        <v>477</v>
      </c>
      <c r="F98" s="18">
        <v>39</v>
      </c>
      <c r="G98" s="18">
        <v>30029030</v>
      </c>
      <c r="H98" s="18" t="s">
        <v>514</v>
      </c>
      <c r="I98" s="27" t="s">
        <v>2</v>
      </c>
      <c r="J98" s="18">
        <v>38</v>
      </c>
      <c r="K98" s="33">
        <v>16.62</v>
      </c>
      <c r="L98" s="31">
        <f t="shared" si="3"/>
        <v>631.56000000000006</v>
      </c>
      <c r="M98" t="str">
        <f t="shared" si="4"/>
        <v>Low Value Product</v>
      </c>
      <c r="N98" t="str">
        <f t="shared" si="5"/>
        <v>Low Revenue Product</v>
      </c>
    </row>
    <row r="99" spans="1:14" x14ac:dyDescent="0.35">
      <c r="A99" s="19" t="s">
        <v>394</v>
      </c>
      <c r="B99" s="18" t="s">
        <v>369</v>
      </c>
      <c r="C99" s="18" t="s">
        <v>3</v>
      </c>
      <c r="D99" s="7">
        <v>528</v>
      </c>
      <c r="E99" s="18" t="s">
        <v>476</v>
      </c>
      <c r="F99" s="18">
        <v>155</v>
      </c>
      <c r="G99" s="18">
        <v>63025900</v>
      </c>
      <c r="H99" s="18" t="s">
        <v>154</v>
      </c>
      <c r="I99" s="28" t="s">
        <v>2</v>
      </c>
      <c r="J99" s="21">
        <v>6.47</v>
      </c>
      <c r="K99" s="34">
        <v>12.64</v>
      </c>
      <c r="L99" s="31">
        <f t="shared" si="3"/>
        <v>81.780799999999999</v>
      </c>
      <c r="M99" t="str">
        <f t="shared" si="4"/>
        <v>Low Value Product</v>
      </c>
      <c r="N99" t="str">
        <f t="shared" si="5"/>
        <v>Low Revenue Product</v>
      </c>
    </row>
    <row r="100" spans="1:14" x14ac:dyDescent="0.35">
      <c r="A100" s="15" t="s">
        <v>394</v>
      </c>
      <c r="B100" s="16" t="s">
        <v>38</v>
      </c>
      <c r="C100" s="16" t="s">
        <v>39</v>
      </c>
      <c r="D100" s="17">
        <v>703</v>
      </c>
      <c r="E100" s="18" t="s">
        <v>479</v>
      </c>
      <c r="F100" s="16">
        <v>151</v>
      </c>
      <c r="G100" s="16">
        <v>84669400</v>
      </c>
      <c r="H100" s="16" t="s">
        <v>561</v>
      </c>
      <c r="I100" s="27" t="s">
        <v>2</v>
      </c>
      <c r="J100" s="18">
        <v>0.02</v>
      </c>
      <c r="K100" s="33">
        <v>4.32</v>
      </c>
      <c r="L100" s="31">
        <f t="shared" si="3"/>
        <v>8.6400000000000005E-2</v>
      </c>
      <c r="M100" t="str">
        <f t="shared" si="4"/>
        <v>Low Value Product</v>
      </c>
      <c r="N100" t="str">
        <f t="shared" si="5"/>
        <v>Low Revenue Product</v>
      </c>
    </row>
    <row r="101" spans="1:14" x14ac:dyDescent="0.35">
      <c r="A101" s="20" t="s">
        <v>394</v>
      </c>
      <c r="B101" s="21" t="s">
        <v>369</v>
      </c>
      <c r="C101" s="21" t="s">
        <v>3</v>
      </c>
      <c r="D101" s="8">
        <v>528</v>
      </c>
      <c r="E101" s="18" t="s">
        <v>476</v>
      </c>
      <c r="F101" s="21">
        <v>155</v>
      </c>
      <c r="G101" s="21">
        <v>39202090</v>
      </c>
      <c r="H101" s="21" t="s">
        <v>562</v>
      </c>
      <c r="I101" s="28" t="s">
        <v>21</v>
      </c>
      <c r="J101" s="21">
        <v>0.1</v>
      </c>
      <c r="K101" s="34">
        <v>0.3</v>
      </c>
      <c r="L101" s="31">
        <f t="shared" si="3"/>
        <v>0.03</v>
      </c>
      <c r="M101" t="str">
        <f t="shared" si="4"/>
        <v>Low Value Product</v>
      </c>
      <c r="N101" t="str">
        <f t="shared" si="5"/>
        <v>Low Revenue Product</v>
      </c>
    </row>
    <row r="102" spans="1:14" x14ac:dyDescent="0.35">
      <c r="A102" s="19" t="s">
        <v>394</v>
      </c>
      <c r="B102" s="18" t="s">
        <v>60</v>
      </c>
      <c r="C102" s="18" t="s">
        <v>61</v>
      </c>
      <c r="D102" s="7">
        <v>724</v>
      </c>
      <c r="E102" s="18" t="s">
        <v>477</v>
      </c>
      <c r="F102" s="18">
        <v>39</v>
      </c>
      <c r="G102" s="18">
        <v>11010000</v>
      </c>
      <c r="H102" s="18" t="s">
        <v>310</v>
      </c>
      <c r="I102" s="27" t="s">
        <v>2</v>
      </c>
      <c r="J102" s="18">
        <v>0.23</v>
      </c>
      <c r="K102" s="33">
        <v>1.47</v>
      </c>
      <c r="L102" s="31">
        <f t="shared" si="3"/>
        <v>0.33810000000000001</v>
      </c>
      <c r="M102" t="str">
        <f t="shared" si="4"/>
        <v>Low Value Product</v>
      </c>
      <c r="N102" t="str">
        <f t="shared" si="5"/>
        <v>Low Revenue Product</v>
      </c>
    </row>
    <row r="103" spans="1:14" x14ac:dyDescent="0.35">
      <c r="A103" s="20" t="s">
        <v>395</v>
      </c>
      <c r="B103" s="21" t="s">
        <v>55</v>
      </c>
      <c r="C103" s="21" t="s">
        <v>56</v>
      </c>
      <c r="D103" s="8">
        <v>276</v>
      </c>
      <c r="E103" s="18" t="s">
        <v>476</v>
      </c>
      <c r="F103" s="21">
        <v>155</v>
      </c>
      <c r="G103" s="21">
        <v>11042900</v>
      </c>
      <c r="H103" s="21" t="s">
        <v>481</v>
      </c>
      <c r="I103" s="28" t="s">
        <v>2</v>
      </c>
      <c r="J103" s="21">
        <v>13.22</v>
      </c>
      <c r="K103" s="34">
        <v>5.95</v>
      </c>
      <c r="L103" s="31">
        <f t="shared" si="3"/>
        <v>78.659000000000006</v>
      </c>
      <c r="M103" t="str">
        <f t="shared" si="4"/>
        <v>Low Value Product</v>
      </c>
      <c r="N103" t="str">
        <f t="shared" si="5"/>
        <v>Low Revenue Product</v>
      </c>
    </row>
    <row r="104" spans="1:14" x14ac:dyDescent="0.35">
      <c r="A104" s="15" t="s">
        <v>395</v>
      </c>
      <c r="B104" s="16" t="s">
        <v>369</v>
      </c>
      <c r="C104" s="16" t="s">
        <v>3</v>
      </c>
      <c r="D104" s="17">
        <v>528</v>
      </c>
      <c r="E104" s="18" t="s">
        <v>476</v>
      </c>
      <c r="F104" s="16">
        <v>155</v>
      </c>
      <c r="G104" s="16">
        <v>7141000</v>
      </c>
      <c r="H104" s="16" t="s">
        <v>346</v>
      </c>
      <c r="I104" s="27" t="s">
        <v>2</v>
      </c>
      <c r="J104" s="18">
        <v>989.48</v>
      </c>
      <c r="K104" s="33">
        <v>861.49</v>
      </c>
      <c r="L104" s="31">
        <f t="shared" si="3"/>
        <v>852427.12520000001</v>
      </c>
      <c r="M104" t="str">
        <f t="shared" si="4"/>
        <v>Low Value Product</v>
      </c>
      <c r="N104" t="str">
        <f t="shared" si="5"/>
        <v>High Revenue Product</v>
      </c>
    </row>
    <row r="105" spans="1:14" x14ac:dyDescent="0.35">
      <c r="A105" s="20" t="s">
        <v>395</v>
      </c>
      <c r="B105" s="21" t="s">
        <v>78</v>
      </c>
      <c r="C105" s="21" t="s">
        <v>79</v>
      </c>
      <c r="D105" s="8">
        <v>208</v>
      </c>
      <c r="E105" s="18" t="s">
        <v>478</v>
      </c>
      <c r="F105" s="21">
        <v>154</v>
      </c>
      <c r="G105" s="21">
        <v>25152090</v>
      </c>
      <c r="H105" s="21" t="s">
        <v>123</v>
      </c>
      <c r="I105" s="28" t="s">
        <v>2</v>
      </c>
      <c r="J105" s="21">
        <v>10</v>
      </c>
      <c r="K105" s="34">
        <v>5.71</v>
      </c>
      <c r="L105" s="31">
        <f t="shared" si="3"/>
        <v>57.1</v>
      </c>
      <c r="M105" t="str">
        <f t="shared" si="4"/>
        <v>Low Value Product</v>
      </c>
      <c r="N105" t="str">
        <f t="shared" si="5"/>
        <v>Low Revenue Product</v>
      </c>
    </row>
    <row r="106" spans="1:14" x14ac:dyDescent="0.35">
      <c r="A106" s="19" t="s">
        <v>395</v>
      </c>
      <c r="B106" s="18" t="s">
        <v>22</v>
      </c>
      <c r="C106" s="18" t="s">
        <v>23</v>
      </c>
      <c r="D106" s="7">
        <v>380</v>
      </c>
      <c r="E106" s="18" t="s">
        <v>477</v>
      </c>
      <c r="F106" s="18">
        <v>39</v>
      </c>
      <c r="G106" s="18">
        <v>73181110</v>
      </c>
      <c r="H106" s="18" t="s">
        <v>216</v>
      </c>
      <c r="I106" s="27" t="s">
        <v>2</v>
      </c>
      <c r="J106" s="18">
        <v>20</v>
      </c>
      <c r="K106" s="33">
        <v>25.71</v>
      </c>
      <c r="L106" s="31">
        <f t="shared" si="3"/>
        <v>514.20000000000005</v>
      </c>
      <c r="M106" t="str">
        <f t="shared" si="4"/>
        <v>Low Value Product</v>
      </c>
      <c r="N106" t="str">
        <f t="shared" si="5"/>
        <v>Low Revenue Product</v>
      </c>
    </row>
    <row r="107" spans="1:14" x14ac:dyDescent="0.35">
      <c r="A107" s="20" t="s">
        <v>395</v>
      </c>
      <c r="B107" s="21" t="s">
        <v>370</v>
      </c>
      <c r="C107" s="21" t="s">
        <v>0</v>
      </c>
      <c r="D107" s="8">
        <v>826</v>
      </c>
      <c r="E107" s="18" t="s">
        <v>478</v>
      </c>
      <c r="F107" s="21">
        <v>154</v>
      </c>
      <c r="G107" s="21">
        <v>7133200</v>
      </c>
      <c r="H107" s="21" t="s">
        <v>270</v>
      </c>
      <c r="I107" s="28" t="s">
        <v>2</v>
      </c>
      <c r="J107" s="21">
        <v>15</v>
      </c>
      <c r="K107" s="34">
        <v>7.6</v>
      </c>
      <c r="L107" s="31">
        <f t="shared" si="3"/>
        <v>114</v>
      </c>
      <c r="M107" t="str">
        <f t="shared" si="4"/>
        <v>Low Value Product</v>
      </c>
      <c r="N107" t="str">
        <f t="shared" si="5"/>
        <v>Low Revenue Product</v>
      </c>
    </row>
    <row r="108" spans="1:14" x14ac:dyDescent="0.35">
      <c r="A108" s="19" t="s">
        <v>395</v>
      </c>
      <c r="B108" s="18" t="s">
        <v>14</v>
      </c>
      <c r="C108" s="18" t="s">
        <v>15</v>
      </c>
      <c r="D108" s="7">
        <v>250</v>
      </c>
      <c r="E108" s="18" t="s">
        <v>476</v>
      </c>
      <c r="F108" s="18">
        <v>155</v>
      </c>
      <c r="G108" s="18">
        <v>73030030</v>
      </c>
      <c r="H108" s="18" t="s">
        <v>82</v>
      </c>
      <c r="I108" s="27" t="s">
        <v>2</v>
      </c>
      <c r="J108" s="18">
        <v>0.04</v>
      </c>
      <c r="K108" s="33">
        <v>4.16</v>
      </c>
      <c r="L108" s="31">
        <f t="shared" si="3"/>
        <v>0.16640000000000002</v>
      </c>
      <c r="M108" t="str">
        <f t="shared" si="4"/>
        <v>Low Value Product</v>
      </c>
      <c r="N108" t="str">
        <f t="shared" si="5"/>
        <v>Low Revenue Product</v>
      </c>
    </row>
    <row r="109" spans="1:14" x14ac:dyDescent="0.35">
      <c r="A109" s="19" t="s">
        <v>395</v>
      </c>
      <c r="B109" s="18" t="s">
        <v>14</v>
      </c>
      <c r="C109" s="18" t="s">
        <v>15</v>
      </c>
      <c r="D109" s="7">
        <v>250</v>
      </c>
      <c r="E109" s="18" t="s">
        <v>476</v>
      </c>
      <c r="F109" s="18">
        <v>155</v>
      </c>
      <c r="G109" s="18">
        <v>29214234</v>
      </c>
      <c r="H109" s="18" t="s">
        <v>166</v>
      </c>
      <c r="I109" s="28" t="s">
        <v>2</v>
      </c>
      <c r="J109" s="21">
        <v>1.54</v>
      </c>
      <c r="K109" s="34">
        <v>1.19</v>
      </c>
      <c r="L109" s="31">
        <f t="shared" si="3"/>
        <v>1.8326</v>
      </c>
      <c r="M109" t="str">
        <f t="shared" si="4"/>
        <v>Low Value Product</v>
      </c>
      <c r="N109" t="str">
        <f t="shared" si="5"/>
        <v>Low Revenue Product</v>
      </c>
    </row>
    <row r="110" spans="1:14" x14ac:dyDescent="0.35">
      <c r="A110" s="15" t="s">
        <v>396</v>
      </c>
      <c r="B110" s="16" t="s">
        <v>22</v>
      </c>
      <c r="C110" s="16" t="s">
        <v>23</v>
      </c>
      <c r="D110" s="17">
        <v>380</v>
      </c>
      <c r="E110" s="18" t="s">
        <v>477</v>
      </c>
      <c r="F110" s="16">
        <v>39</v>
      </c>
      <c r="G110" s="16">
        <v>42031010</v>
      </c>
      <c r="H110" s="16" t="s">
        <v>50</v>
      </c>
      <c r="I110" s="27" t="s">
        <v>21</v>
      </c>
      <c r="J110" s="18">
        <v>35.1</v>
      </c>
      <c r="K110" s="33">
        <v>97.72</v>
      </c>
      <c r="L110" s="31">
        <f t="shared" si="3"/>
        <v>3429.9720000000002</v>
      </c>
      <c r="M110" t="str">
        <f t="shared" si="4"/>
        <v>Low Value Product</v>
      </c>
      <c r="N110" t="str">
        <f t="shared" si="5"/>
        <v>Low Revenue Product</v>
      </c>
    </row>
    <row r="111" spans="1:14" x14ac:dyDescent="0.35">
      <c r="A111" s="19" t="s">
        <v>396</v>
      </c>
      <c r="B111" s="18" t="s">
        <v>22</v>
      </c>
      <c r="C111" s="18" t="s">
        <v>23</v>
      </c>
      <c r="D111" s="7">
        <v>380</v>
      </c>
      <c r="E111" s="18" t="s">
        <v>477</v>
      </c>
      <c r="F111" s="18">
        <v>39</v>
      </c>
      <c r="G111" s="18">
        <v>58071020</v>
      </c>
      <c r="H111" s="18" t="s">
        <v>345</v>
      </c>
      <c r="I111" s="28" t="s">
        <v>21</v>
      </c>
      <c r="J111" s="21">
        <v>19.989999999999998</v>
      </c>
      <c r="K111" s="34">
        <v>140.37</v>
      </c>
      <c r="L111" s="31">
        <f t="shared" si="3"/>
        <v>2805.9962999999998</v>
      </c>
      <c r="M111" t="str">
        <f t="shared" si="4"/>
        <v>Low Value Product</v>
      </c>
      <c r="N111" t="str">
        <f t="shared" si="5"/>
        <v>Low Revenue Product</v>
      </c>
    </row>
    <row r="112" spans="1:14" x14ac:dyDescent="0.35">
      <c r="A112" s="19" t="s">
        <v>396</v>
      </c>
      <c r="B112" s="18" t="s">
        <v>38</v>
      </c>
      <c r="C112" s="18" t="s">
        <v>39</v>
      </c>
      <c r="D112" s="7">
        <v>703</v>
      </c>
      <c r="E112" s="18" t="s">
        <v>479</v>
      </c>
      <c r="F112" s="18">
        <v>151</v>
      </c>
      <c r="G112" s="18">
        <v>61072100</v>
      </c>
      <c r="H112" s="18" t="s">
        <v>325</v>
      </c>
      <c r="I112" s="27" t="s">
        <v>2</v>
      </c>
      <c r="J112" s="18">
        <v>0.01</v>
      </c>
      <c r="K112" s="33">
        <v>19.82</v>
      </c>
      <c r="L112" s="31">
        <f t="shared" si="3"/>
        <v>0.19820000000000002</v>
      </c>
      <c r="M112" t="str">
        <f t="shared" si="4"/>
        <v>Low Value Product</v>
      </c>
      <c r="N112" t="str">
        <f t="shared" si="5"/>
        <v>Low Revenue Product</v>
      </c>
    </row>
    <row r="113" spans="1:14" x14ac:dyDescent="0.35">
      <c r="A113" s="19" t="s">
        <v>396</v>
      </c>
      <c r="B113" s="18" t="s">
        <v>55</v>
      </c>
      <c r="C113" s="18" t="s">
        <v>56</v>
      </c>
      <c r="D113" s="7">
        <v>276</v>
      </c>
      <c r="E113" s="18" t="s">
        <v>476</v>
      </c>
      <c r="F113" s="18">
        <v>155</v>
      </c>
      <c r="G113" s="18">
        <v>30042039</v>
      </c>
      <c r="H113" s="18" t="s">
        <v>150</v>
      </c>
      <c r="I113" s="28" t="s">
        <v>2</v>
      </c>
      <c r="J113" s="21">
        <v>30.25</v>
      </c>
      <c r="K113" s="34">
        <v>1597.39</v>
      </c>
      <c r="L113" s="31">
        <f t="shared" si="3"/>
        <v>48321.047500000001</v>
      </c>
      <c r="M113" t="str">
        <f t="shared" si="4"/>
        <v>Moderate Value Product</v>
      </c>
      <c r="N113" t="str">
        <f t="shared" si="5"/>
        <v>Low Revenue Product</v>
      </c>
    </row>
    <row r="114" spans="1:14" x14ac:dyDescent="0.35">
      <c r="A114" s="15" t="s">
        <v>396</v>
      </c>
      <c r="B114" s="16" t="s">
        <v>370</v>
      </c>
      <c r="C114" s="16" t="s">
        <v>0</v>
      </c>
      <c r="D114" s="17">
        <v>826</v>
      </c>
      <c r="E114" s="18" t="s">
        <v>478</v>
      </c>
      <c r="F114" s="16">
        <v>154</v>
      </c>
      <c r="G114" s="16">
        <v>62113300</v>
      </c>
      <c r="H114" s="16" t="s">
        <v>563</v>
      </c>
      <c r="I114" s="27" t="s">
        <v>2</v>
      </c>
      <c r="J114" s="18">
        <v>0.01</v>
      </c>
      <c r="K114" s="33">
        <v>1.94</v>
      </c>
      <c r="L114" s="31">
        <f t="shared" si="3"/>
        <v>1.9400000000000001E-2</v>
      </c>
      <c r="M114" t="str">
        <f t="shared" si="4"/>
        <v>Low Value Product</v>
      </c>
      <c r="N114" t="str">
        <f t="shared" si="5"/>
        <v>Low Revenue Product</v>
      </c>
    </row>
    <row r="115" spans="1:14" x14ac:dyDescent="0.35">
      <c r="A115" s="20" t="s">
        <v>396</v>
      </c>
      <c r="B115" s="21" t="s">
        <v>51</v>
      </c>
      <c r="C115" s="21" t="s">
        <v>52</v>
      </c>
      <c r="D115" s="8">
        <v>616</v>
      </c>
      <c r="E115" s="18" t="s">
        <v>479</v>
      </c>
      <c r="F115" s="21">
        <v>151</v>
      </c>
      <c r="G115" s="21">
        <v>84131191</v>
      </c>
      <c r="H115" s="21" t="s">
        <v>122</v>
      </c>
      <c r="I115" s="28" t="s">
        <v>21</v>
      </c>
      <c r="J115" s="21">
        <v>0.01</v>
      </c>
      <c r="K115" s="34">
        <v>0.22</v>
      </c>
      <c r="L115" s="31">
        <f t="shared" si="3"/>
        <v>2.2000000000000001E-3</v>
      </c>
      <c r="M115" t="str">
        <f t="shared" si="4"/>
        <v>Low Value Product</v>
      </c>
      <c r="N115" t="str">
        <f t="shared" si="5"/>
        <v>Low Revenue Product</v>
      </c>
    </row>
    <row r="116" spans="1:14" x14ac:dyDescent="0.35">
      <c r="A116" s="15" t="s">
        <v>396</v>
      </c>
      <c r="B116" s="16" t="s">
        <v>370</v>
      </c>
      <c r="C116" s="16" t="s">
        <v>0</v>
      </c>
      <c r="D116" s="17">
        <v>826</v>
      </c>
      <c r="E116" s="18" t="s">
        <v>478</v>
      </c>
      <c r="F116" s="16">
        <v>154</v>
      </c>
      <c r="G116" s="16">
        <v>9109990</v>
      </c>
      <c r="H116" s="16" t="s">
        <v>142</v>
      </c>
      <c r="I116" s="27" t="s">
        <v>2</v>
      </c>
      <c r="J116" s="18">
        <v>0.38</v>
      </c>
      <c r="K116" s="33">
        <v>23.31</v>
      </c>
      <c r="L116" s="31">
        <f t="shared" si="3"/>
        <v>8.8577999999999992</v>
      </c>
      <c r="M116" t="str">
        <f t="shared" si="4"/>
        <v>Low Value Product</v>
      </c>
      <c r="N116" t="str">
        <f t="shared" si="5"/>
        <v>Low Revenue Product</v>
      </c>
    </row>
    <row r="117" spans="1:14" x14ac:dyDescent="0.35">
      <c r="A117" s="19" t="s">
        <v>396</v>
      </c>
      <c r="B117" s="18" t="s">
        <v>134</v>
      </c>
      <c r="C117" s="18" t="s">
        <v>135</v>
      </c>
      <c r="D117" s="7">
        <v>300</v>
      </c>
      <c r="E117" s="18" t="s">
        <v>477</v>
      </c>
      <c r="F117" s="18">
        <v>39</v>
      </c>
      <c r="G117" s="18">
        <v>85030090</v>
      </c>
      <c r="H117" s="18" t="s">
        <v>564</v>
      </c>
      <c r="I117" s="28" t="s">
        <v>2</v>
      </c>
      <c r="J117" s="21">
        <v>10.75</v>
      </c>
      <c r="K117" s="34">
        <v>27.82</v>
      </c>
      <c r="L117" s="31">
        <f t="shared" si="3"/>
        <v>299.065</v>
      </c>
      <c r="M117" t="str">
        <f t="shared" si="4"/>
        <v>Low Value Product</v>
      </c>
      <c r="N117" t="str">
        <f t="shared" si="5"/>
        <v>Low Revenue Product</v>
      </c>
    </row>
    <row r="118" spans="1:14" x14ac:dyDescent="0.35">
      <c r="A118" s="15" t="s">
        <v>397</v>
      </c>
      <c r="B118" s="16" t="s">
        <v>22</v>
      </c>
      <c r="C118" s="16" t="s">
        <v>23</v>
      </c>
      <c r="D118" s="17">
        <v>380</v>
      </c>
      <c r="E118" s="18" t="s">
        <v>477</v>
      </c>
      <c r="F118" s="16">
        <v>39</v>
      </c>
      <c r="G118" s="16">
        <v>38123010</v>
      </c>
      <c r="H118" s="16" t="s">
        <v>515</v>
      </c>
      <c r="I118" s="27" t="s">
        <v>2</v>
      </c>
      <c r="J118" s="18">
        <v>5.53</v>
      </c>
      <c r="K118" s="33">
        <v>18.37</v>
      </c>
      <c r="L118" s="31">
        <f t="shared" si="3"/>
        <v>101.58610000000002</v>
      </c>
      <c r="M118" t="str">
        <f t="shared" si="4"/>
        <v>Low Value Product</v>
      </c>
      <c r="N118" t="str">
        <f t="shared" si="5"/>
        <v>Low Revenue Product</v>
      </c>
    </row>
    <row r="119" spans="1:14" x14ac:dyDescent="0.35">
      <c r="A119" s="20" t="s">
        <v>397</v>
      </c>
      <c r="B119" s="21" t="s">
        <v>14</v>
      </c>
      <c r="C119" s="21" t="s">
        <v>15</v>
      </c>
      <c r="D119" s="8">
        <v>250</v>
      </c>
      <c r="E119" s="18" t="s">
        <v>476</v>
      </c>
      <c r="F119" s="21">
        <v>155</v>
      </c>
      <c r="G119" s="21">
        <v>84099191</v>
      </c>
      <c r="H119" s="21" t="s">
        <v>565</v>
      </c>
      <c r="I119" s="28" t="s">
        <v>2</v>
      </c>
      <c r="J119" s="21">
        <v>0.21</v>
      </c>
      <c r="K119" s="34">
        <v>1.24</v>
      </c>
      <c r="L119" s="31">
        <f t="shared" si="3"/>
        <v>0.26039999999999996</v>
      </c>
      <c r="M119" t="str">
        <f t="shared" si="4"/>
        <v>Low Value Product</v>
      </c>
      <c r="N119" t="str">
        <f t="shared" si="5"/>
        <v>Low Revenue Product</v>
      </c>
    </row>
    <row r="120" spans="1:14" x14ac:dyDescent="0.35">
      <c r="A120" s="15" t="s">
        <v>397</v>
      </c>
      <c r="B120" s="16" t="s">
        <v>22</v>
      </c>
      <c r="C120" s="16" t="s">
        <v>23</v>
      </c>
      <c r="D120" s="17">
        <v>380</v>
      </c>
      <c r="E120" s="18" t="s">
        <v>477</v>
      </c>
      <c r="F120" s="16">
        <v>39</v>
      </c>
      <c r="G120" s="16">
        <v>94035090</v>
      </c>
      <c r="H120" s="16" t="s">
        <v>264</v>
      </c>
      <c r="I120" s="27" t="s">
        <v>21</v>
      </c>
      <c r="J120" s="18">
        <v>0.02</v>
      </c>
      <c r="K120" s="33">
        <v>0.04</v>
      </c>
      <c r="L120" s="31">
        <f t="shared" si="3"/>
        <v>8.0000000000000004E-4</v>
      </c>
      <c r="M120" t="str">
        <f t="shared" si="4"/>
        <v>Low Value Product</v>
      </c>
      <c r="N120" t="str">
        <f t="shared" si="5"/>
        <v>Low Revenue Product</v>
      </c>
    </row>
    <row r="121" spans="1:14" x14ac:dyDescent="0.35">
      <c r="A121" s="19" t="s">
        <v>397</v>
      </c>
      <c r="B121" s="18" t="s">
        <v>55</v>
      </c>
      <c r="C121" s="18" t="s">
        <v>56</v>
      </c>
      <c r="D121" s="7">
        <v>276</v>
      </c>
      <c r="E121" s="18" t="s">
        <v>476</v>
      </c>
      <c r="F121" s="18">
        <v>155</v>
      </c>
      <c r="G121" s="18">
        <v>84137099</v>
      </c>
      <c r="H121" s="18" t="s">
        <v>10</v>
      </c>
      <c r="I121" s="28" t="s">
        <v>21</v>
      </c>
      <c r="J121" s="21">
        <v>0.04</v>
      </c>
      <c r="K121" s="34">
        <v>2.06</v>
      </c>
      <c r="L121" s="31">
        <f t="shared" si="3"/>
        <v>8.2400000000000001E-2</v>
      </c>
      <c r="M121" t="str">
        <f t="shared" si="4"/>
        <v>Low Value Product</v>
      </c>
      <c r="N121" t="str">
        <f t="shared" si="5"/>
        <v>Low Revenue Product</v>
      </c>
    </row>
    <row r="122" spans="1:14" x14ac:dyDescent="0.35">
      <c r="A122" s="19" t="s">
        <v>397</v>
      </c>
      <c r="B122" s="18" t="s">
        <v>60</v>
      </c>
      <c r="C122" s="18" t="s">
        <v>61</v>
      </c>
      <c r="D122" s="7">
        <v>724</v>
      </c>
      <c r="E122" s="18" t="s">
        <v>477</v>
      </c>
      <c r="F122" s="18">
        <v>39</v>
      </c>
      <c r="G122" s="18">
        <v>28020010</v>
      </c>
      <c r="H122" s="18" t="s">
        <v>281</v>
      </c>
      <c r="I122" s="27" t="s">
        <v>2</v>
      </c>
      <c r="J122" s="18">
        <v>60</v>
      </c>
      <c r="K122" s="33">
        <v>66.92</v>
      </c>
      <c r="L122" s="31">
        <f t="shared" si="3"/>
        <v>4015.2000000000003</v>
      </c>
      <c r="M122" t="str">
        <f t="shared" si="4"/>
        <v>Low Value Product</v>
      </c>
      <c r="N122" t="str">
        <f t="shared" si="5"/>
        <v>Low Revenue Product</v>
      </c>
    </row>
    <row r="123" spans="1:14" x14ac:dyDescent="0.35">
      <c r="A123" s="19" t="s">
        <v>397</v>
      </c>
      <c r="B123" s="18" t="s">
        <v>14</v>
      </c>
      <c r="C123" s="18" t="s">
        <v>15</v>
      </c>
      <c r="D123" s="7">
        <v>250</v>
      </c>
      <c r="E123" s="18" t="s">
        <v>476</v>
      </c>
      <c r="F123" s="18">
        <v>155</v>
      </c>
      <c r="G123" s="18">
        <v>72192111</v>
      </c>
      <c r="H123" s="18" t="s">
        <v>566</v>
      </c>
      <c r="I123" s="28" t="s">
        <v>2</v>
      </c>
      <c r="J123" s="21">
        <v>103.6</v>
      </c>
      <c r="K123" s="34">
        <v>130</v>
      </c>
      <c r="L123" s="31">
        <f t="shared" si="3"/>
        <v>13468</v>
      </c>
      <c r="M123" t="str">
        <f t="shared" si="4"/>
        <v>Low Value Product</v>
      </c>
      <c r="N123" t="str">
        <f t="shared" si="5"/>
        <v>Low Revenue Product</v>
      </c>
    </row>
    <row r="124" spans="1:14" x14ac:dyDescent="0.35">
      <c r="A124" s="19" t="s">
        <v>397</v>
      </c>
      <c r="B124" s="18" t="s">
        <v>55</v>
      </c>
      <c r="C124" s="18" t="s">
        <v>56</v>
      </c>
      <c r="D124" s="7">
        <v>276</v>
      </c>
      <c r="E124" s="18" t="s">
        <v>476</v>
      </c>
      <c r="F124" s="18">
        <v>155</v>
      </c>
      <c r="G124" s="18">
        <v>84133030</v>
      </c>
      <c r="H124" s="18" t="s">
        <v>234</v>
      </c>
      <c r="I124" s="27" t="s">
        <v>21</v>
      </c>
      <c r="J124" s="18">
        <v>1.77</v>
      </c>
      <c r="K124" s="33">
        <v>10.47</v>
      </c>
      <c r="L124" s="31">
        <f t="shared" si="3"/>
        <v>18.5319</v>
      </c>
      <c r="M124" t="str">
        <f t="shared" si="4"/>
        <v>Low Value Product</v>
      </c>
      <c r="N124" t="str">
        <f t="shared" si="5"/>
        <v>Low Revenue Product</v>
      </c>
    </row>
    <row r="125" spans="1:14" x14ac:dyDescent="0.35">
      <c r="A125" s="20" t="s">
        <v>398</v>
      </c>
      <c r="B125" s="21" t="s">
        <v>14</v>
      </c>
      <c r="C125" s="21" t="s">
        <v>15</v>
      </c>
      <c r="D125" s="8">
        <v>250</v>
      </c>
      <c r="E125" s="18" t="s">
        <v>476</v>
      </c>
      <c r="F125" s="21">
        <v>155</v>
      </c>
      <c r="G125" s="21">
        <v>9011112</v>
      </c>
      <c r="H125" s="21" t="s">
        <v>223</v>
      </c>
      <c r="I125" s="28" t="s">
        <v>2</v>
      </c>
      <c r="J125" s="21">
        <v>123</v>
      </c>
      <c r="K125" s="34">
        <v>57.44</v>
      </c>
      <c r="L125" s="31">
        <f t="shared" si="3"/>
        <v>7065.12</v>
      </c>
      <c r="M125" t="str">
        <f t="shared" si="4"/>
        <v>Low Value Product</v>
      </c>
      <c r="N125" t="str">
        <f t="shared" si="5"/>
        <v>Low Revenue Product</v>
      </c>
    </row>
    <row r="126" spans="1:14" x14ac:dyDescent="0.35">
      <c r="A126" s="19" t="s">
        <v>398</v>
      </c>
      <c r="B126" s="18" t="s">
        <v>44</v>
      </c>
      <c r="C126" s="18" t="s">
        <v>45</v>
      </c>
      <c r="D126" s="7">
        <v>56</v>
      </c>
      <c r="E126" s="18" t="s">
        <v>476</v>
      </c>
      <c r="F126" s="18">
        <v>155</v>
      </c>
      <c r="G126" s="18">
        <v>29153100</v>
      </c>
      <c r="H126" s="18" t="s">
        <v>314</v>
      </c>
      <c r="I126" s="27" t="s">
        <v>2</v>
      </c>
      <c r="J126" s="18">
        <v>664.78</v>
      </c>
      <c r="K126" s="33">
        <v>323.76</v>
      </c>
      <c r="L126" s="31">
        <f t="shared" si="3"/>
        <v>215229.17279999997</v>
      </c>
      <c r="M126" t="str">
        <f t="shared" si="4"/>
        <v>Low Value Product</v>
      </c>
      <c r="N126" t="str">
        <f t="shared" si="5"/>
        <v>High Revenue Product</v>
      </c>
    </row>
    <row r="127" spans="1:14" x14ac:dyDescent="0.35">
      <c r="A127" s="19" t="s">
        <v>398</v>
      </c>
      <c r="B127" s="18" t="s">
        <v>60</v>
      </c>
      <c r="C127" s="18" t="s">
        <v>61</v>
      </c>
      <c r="D127" s="7">
        <v>724</v>
      </c>
      <c r="E127" s="18" t="s">
        <v>477</v>
      </c>
      <c r="F127" s="18">
        <v>39</v>
      </c>
      <c r="G127" s="18">
        <v>73251000</v>
      </c>
      <c r="H127" s="18" t="s">
        <v>483</v>
      </c>
      <c r="I127" s="28" t="s">
        <v>17</v>
      </c>
      <c r="J127" s="21">
        <v>35.5</v>
      </c>
      <c r="K127" s="34">
        <v>21.33</v>
      </c>
      <c r="L127" s="31">
        <f t="shared" si="3"/>
        <v>757.21499999999992</v>
      </c>
      <c r="M127" t="str">
        <f t="shared" si="4"/>
        <v>Low Value Product</v>
      </c>
      <c r="N127" t="str">
        <f t="shared" si="5"/>
        <v>Low Revenue Product</v>
      </c>
    </row>
    <row r="128" spans="1:14" x14ac:dyDescent="0.35">
      <c r="A128" s="15" t="s">
        <v>398</v>
      </c>
      <c r="B128" s="16" t="s">
        <v>60</v>
      </c>
      <c r="C128" s="16" t="s">
        <v>61</v>
      </c>
      <c r="D128" s="17">
        <v>724</v>
      </c>
      <c r="E128" s="18" t="s">
        <v>477</v>
      </c>
      <c r="F128" s="16">
        <v>39</v>
      </c>
      <c r="G128" s="16">
        <v>72101290</v>
      </c>
      <c r="H128" s="16" t="s">
        <v>352</v>
      </c>
      <c r="I128" s="27" t="s">
        <v>21</v>
      </c>
      <c r="J128" s="18">
        <v>0.2</v>
      </c>
      <c r="K128" s="33">
        <v>15.48</v>
      </c>
      <c r="L128" s="31">
        <f t="shared" si="3"/>
        <v>3.0960000000000001</v>
      </c>
      <c r="M128" t="str">
        <f t="shared" si="4"/>
        <v>Low Value Product</v>
      </c>
      <c r="N128" t="str">
        <f t="shared" si="5"/>
        <v>Low Revenue Product</v>
      </c>
    </row>
    <row r="129" spans="1:14" x14ac:dyDescent="0.35">
      <c r="A129" s="19" t="s">
        <v>398</v>
      </c>
      <c r="B129" s="18" t="s">
        <v>51</v>
      </c>
      <c r="C129" s="18" t="s">
        <v>52</v>
      </c>
      <c r="D129" s="7">
        <v>616</v>
      </c>
      <c r="E129" s="18" t="s">
        <v>479</v>
      </c>
      <c r="F129" s="18">
        <v>151</v>
      </c>
      <c r="G129" s="18">
        <v>84612019</v>
      </c>
      <c r="H129" s="18" t="s">
        <v>184</v>
      </c>
      <c r="I129" s="28" t="s">
        <v>2</v>
      </c>
      <c r="J129" s="21">
        <v>38.4</v>
      </c>
      <c r="K129" s="34">
        <v>77.849999999999994</v>
      </c>
      <c r="L129" s="31">
        <f t="shared" si="3"/>
        <v>2989.4399999999996</v>
      </c>
      <c r="M129" t="str">
        <f t="shared" si="4"/>
        <v>Low Value Product</v>
      </c>
      <c r="N129" t="str">
        <f t="shared" si="5"/>
        <v>Low Revenue Product</v>
      </c>
    </row>
    <row r="130" spans="1:14" x14ac:dyDescent="0.35">
      <c r="A130" s="15" t="s">
        <v>398</v>
      </c>
      <c r="B130" s="16" t="s">
        <v>14</v>
      </c>
      <c r="C130" s="16" t="s">
        <v>15</v>
      </c>
      <c r="D130" s="17">
        <v>250</v>
      </c>
      <c r="E130" s="18" t="s">
        <v>476</v>
      </c>
      <c r="F130" s="16">
        <v>155</v>
      </c>
      <c r="G130" s="16">
        <v>53110019</v>
      </c>
      <c r="H130" s="16" t="s">
        <v>482</v>
      </c>
      <c r="I130" s="27" t="s">
        <v>2</v>
      </c>
      <c r="J130" s="18">
        <v>350.72</v>
      </c>
      <c r="K130" s="33">
        <v>580.63</v>
      </c>
      <c r="L130" s="31">
        <f t="shared" si="3"/>
        <v>203638.55360000001</v>
      </c>
      <c r="M130" t="str">
        <f t="shared" si="4"/>
        <v>Low Value Product</v>
      </c>
      <c r="N130" t="str">
        <f t="shared" si="5"/>
        <v>High Revenue Product</v>
      </c>
    </row>
    <row r="131" spans="1:14" x14ac:dyDescent="0.35">
      <c r="A131" s="20" t="s">
        <v>399</v>
      </c>
      <c r="B131" s="21" t="s">
        <v>369</v>
      </c>
      <c r="C131" s="21" t="s">
        <v>3</v>
      </c>
      <c r="D131" s="8">
        <v>528</v>
      </c>
      <c r="E131" s="18" t="s">
        <v>476</v>
      </c>
      <c r="F131" s="21">
        <v>155</v>
      </c>
      <c r="G131" s="21">
        <v>22021010</v>
      </c>
      <c r="H131" s="21" t="s">
        <v>58</v>
      </c>
      <c r="I131" s="28" t="s">
        <v>21</v>
      </c>
      <c r="J131" s="21">
        <v>2</v>
      </c>
      <c r="K131" s="34">
        <v>0</v>
      </c>
      <c r="L131" s="31">
        <f t="shared" ref="L131:L194" si="6">J131*K131</f>
        <v>0</v>
      </c>
      <c r="M131" t="str">
        <f t="shared" ref="M131:M194" si="7">IF(K131&lt;=1000,"Low Value Product",IF(K131&lt;=2000,"Moderate Value Product","High Value Product"))</f>
        <v>Low Value Product</v>
      </c>
      <c r="N131" t="str">
        <f t="shared" ref="N131:N194" si="8">IF(L131&lt;50000,"Low Revenue Product",IF(L131&lt;100000,"Medium Revenue Product","High Revenue Product"))</f>
        <v>Low Revenue Product</v>
      </c>
    </row>
    <row r="132" spans="1:14" x14ac:dyDescent="0.35">
      <c r="A132" s="15" t="s">
        <v>399</v>
      </c>
      <c r="B132" s="16" t="s">
        <v>370</v>
      </c>
      <c r="C132" s="16" t="s">
        <v>0</v>
      </c>
      <c r="D132" s="17">
        <v>826</v>
      </c>
      <c r="E132" s="18" t="s">
        <v>478</v>
      </c>
      <c r="F132" s="16">
        <v>154</v>
      </c>
      <c r="G132" s="16">
        <v>71123000</v>
      </c>
      <c r="H132" s="16" t="s">
        <v>261</v>
      </c>
      <c r="I132" s="27" t="s">
        <v>2</v>
      </c>
      <c r="J132" s="18">
        <v>173</v>
      </c>
      <c r="K132" s="33">
        <v>0.28000000000000003</v>
      </c>
      <c r="L132" s="31">
        <f t="shared" si="6"/>
        <v>48.440000000000005</v>
      </c>
      <c r="M132" t="str">
        <f t="shared" si="7"/>
        <v>Low Value Product</v>
      </c>
      <c r="N132" t="str">
        <f t="shared" si="8"/>
        <v>Low Revenue Product</v>
      </c>
    </row>
    <row r="133" spans="1:14" x14ac:dyDescent="0.35">
      <c r="A133" s="20" t="s">
        <v>399</v>
      </c>
      <c r="B133" s="21" t="s">
        <v>22</v>
      </c>
      <c r="C133" s="21" t="s">
        <v>23</v>
      </c>
      <c r="D133" s="8">
        <v>380</v>
      </c>
      <c r="E133" s="18" t="s">
        <v>477</v>
      </c>
      <c r="F133" s="21">
        <v>39</v>
      </c>
      <c r="G133" s="21">
        <v>76071190</v>
      </c>
      <c r="H133" s="21" t="s">
        <v>575</v>
      </c>
      <c r="I133" s="28" t="s">
        <v>2</v>
      </c>
      <c r="J133" s="21">
        <v>2385</v>
      </c>
      <c r="K133" s="34">
        <v>2.08</v>
      </c>
      <c r="L133" s="31">
        <f t="shared" si="6"/>
        <v>4960.8</v>
      </c>
      <c r="M133" t="str">
        <f t="shared" si="7"/>
        <v>Low Value Product</v>
      </c>
      <c r="N133" t="str">
        <f t="shared" si="8"/>
        <v>Low Revenue Product</v>
      </c>
    </row>
    <row r="134" spans="1:14" x14ac:dyDescent="0.35">
      <c r="A134" s="19" t="s">
        <v>399</v>
      </c>
      <c r="B134" s="18" t="s">
        <v>11</v>
      </c>
      <c r="C134" s="18" t="s">
        <v>12</v>
      </c>
      <c r="D134" s="7">
        <v>643</v>
      </c>
      <c r="E134" s="18" t="s">
        <v>479</v>
      </c>
      <c r="F134" s="18">
        <v>151</v>
      </c>
      <c r="G134" s="18">
        <v>84249000</v>
      </c>
      <c r="H134" s="18" t="s">
        <v>341</v>
      </c>
      <c r="I134" s="27" t="s">
        <v>21</v>
      </c>
      <c r="J134" s="18">
        <v>1</v>
      </c>
      <c r="K134" s="33">
        <v>0</v>
      </c>
      <c r="L134" s="31">
        <f t="shared" si="6"/>
        <v>0</v>
      </c>
      <c r="M134" t="str">
        <f t="shared" si="7"/>
        <v>Low Value Product</v>
      </c>
      <c r="N134" t="str">
        <f t="shared" si="8"/>
        <v>Low Revenue Product</v>
      </c>
    </row>
    <row r="135" spans="1:14" x14ac:dyDescent="0.35">
      <c r="A135" s="19" t="s">
        <v>399</v>
      </c>
      <c r="B135" s="18" t="s">
        <v>14</v>
      </c>
      <c r="C135" s="18" t="s">
        <v>15</v>
      </c>
      <c r="D135" s="7">
        <v>250</v>
      </c>
      <c r="E135" s="18" t="s">
        <v>476</v>
      </c>
      <c r="F135" s="18">
        <v>155</v>
      </c>
      <c r="G135" s="18">
        <v>87141010</v>
      </c>
      <c r="H135" s="18" t="s">
        <v>54</v>
      </c>
      <c r="I135" s="28" t="s">
        <v>2</v>
      </c>
      <c r="J135" s="21">
        <v>148457</v>
      </c>
      <c r="K135" s="34">
        <v>4.96</v>
      </c>
      <c r="L135" s="31">
        <f t="shared" si="6"/>
        <v>736346.72</v>
      </c>
      <c r="M135" t="str">
        <f t="shared" si="7"/>
        <v>Low Value Product</v>
      </c>
      <c r="N135" t="str">
        <f t="shared" si="8"/>
        <v>High Revenue Product</v>
      </c>
    </row>
    <row r="136" spans="1:14" x14ac:dyDescent="0.35">
      <c r="A136" s="19" t="s">
        <v>399</v>
      </c>
      <c r="B136" s="18" t="s">
        <v>55</v>
      </c>
      <c r="C136" s="18" t="s">
        <v>56</v>
      </c>
      <c r="D136" s="7">
        <v>276</v>
      </c>
      <c r="E136" s="18" t="s">
        <v>476</v>
      </c>
      <c r="F136" s="18">
        <v>155</v>
      </c>
      <c r="G136" s="18">
        <v>62031200</v>
      </c>
      <c r="H136" s="18" t="s">
        <v>313</v>
      </c>
      <c r="I136" s="27" t="s">
        <v>2</v>
      </c>
      <c r="J136" s="18">
        <v>31</v>
      </c>
      <c r="K136" s="33">
        <v>0</v>
      </c>
      <c r="L136" s="31">
        <f t="shared" si="6"/>
        <v>0</v>
      </c>
      <c r="M136" t="str">
        <f t="shared" si="7"/>
        <v>Low Value Product</v>
      </c>
      <c r="N136" t="str">
        <f t="shared" si="8"/>
        <v>Low Revenue Product</v>
      </c>
    </row>
    <row r="137" spans="1:14" x14ac:dyDescent="0.35">
      <c r="A137" s="20" t="s">
        <v>399</v>
      </c>
      <c r="B137" s="21" t="s">
        <v>86</v>
      </c>
      <c r="C137" s="21" t="s">
        <v>87</v>
      </c>
      <c r="D137" s="8">
        <v>40</v>
      </c>
      <c r="E137" s="18" t="s">
        <v>476</v>
      </c>
      <c r="F137" s="21">
        <v>155</v>
      </c>
      <c r="G137" s="21">
        <v>40114010</v>
      </c>
      <c r="H137" s="21" t="s">
        <v>170</v>
      </c>
      <c r="I137" s="28" t="s">
        <v>59</v>
      </c>
      <c r="J137" s="21">
        <v>7134</v>
      </c>
      <c r="K137" s="34">
        <v>7.0000000000000007E-2</v>
      </c>
      <c r="L137" s="31">
        <f t="shared" si="6"/>
        <v>499.38000000000005</v>
      </c>
      <c r="M137" t="str">
        <f t="shared" si="7"/>
        <v>Low Value Product</v>
      </c>
      <c r="N137" t="str">
        <f t="shared" si="8"/>
        <v>Low Revenue Product</v>
      </c>
    </row>
    <row r="138" spans="1:14" x14ac:dyDescent="0.35">
      <c r="A138" s="19" t="s">
        <v>400</v>
      </c>
      <c r="B138" s="18" t="s">
        <v>370</v>
      </c>
      <c r="C138" s="18" t="s">
        <v>0</v>
      </c>
      <c r="D138" s="7">
        <v>826</v>
      </c>
      <c r="E138" s="18" t="s">
        <v>478</v>
      </c>
      <c r="F138" s="18">
        <v>154</v>
      </c>
      <c r="G138" s="18">
        <v>68042210</v>
      </c>
      <c r="H138" s="18" t="s">
        <v>576</v>
      </c>
      <c r="I138" s="27" t="s">
        <v>2</v>
      </c>
      <c r="J138" s="18">
        <v>3.14</v>
      </c>
      <c r="K138" s="33">
        <v>14.25</v>
      </c>
      <c r="L138" s="31">
        <f t="shared" si="6"/>
        <v>44.745000000000005</v>
      </c>
      <c r="M138" t="str">
        <f t="shared" si="7"/>
        <v>Low Value Product</v>
      </c>
      <c r="N138" t="str">
        <f t="shared" si="8"/>
        <v>Low Revenue Product</v>
      </c>
    </row>
    <row r="139" spans="1:14" x14ac:dyDescent="0.35">
      <c r="A139" s="20" t="s">
        <v>400</v>
      </c>
      <c r="B139" s="21" t="s">
        <v>29</v>
      </c>
      <c r="C139" s="21" t="s">
        <v>30</v>
      </c>
      <c r="D139" s="8">
        <v>191</v>
      </c>
      <c r="E139" s="18" t="s">
        <v>477</v>
      </c>
      <c r="F139" s="21">
        <v>39</v>
      </c>
      <c r="G139" s="21">
        <v>73071190</v>
      </c>
      <c r="H139" s="21" t="s">
        <v>237</v>
      </c>
      <c r="I139" s="28" t="s">
        <v>2</v>
      </c>
      <c r="J139" s="21">
        <v>0.02</v>
      </c>
      <c r="K139" s="34">
        <v>0.08</v>
      </c>
      <c r="L139" s="31">
        <f t="shared" si="6"/>
        <v>1.6000000000000001E-3</v>
      </c>
      <c r="M139" t="str">
        <f t="shared" si="7"/>
        <v>Low Value Product</v>
      </c>
      <c r="N139" t="str">
        <f t="shared" si="8"/>
        <v>Low Revenue Product</v>
      </c>
    </row>
    <row r="140" spans="1:14" x14ac:dyDescent="0.35">
      <c r="A140" s="19" t="s">
        <v>401</v>
      </c>
      <c r="B140" s="18" t="s">
        <v>51</v>
      </c>
      <c r="C140" s="18" t="s">
        <v>52</v>
      </c>
      <c r="D140" s="7">
        <v>616</v>
      </c>
      <c r="E140" s="18" t="s">
        <v>479</v>
      </c>
      <c r="F140" s="18">
        <v>151</v>
      </c>
      <c r="G140" s="18">
        <v>82059010</v>
      </c>
      <c r="H140" s="18" t="s">
        <v>128</v>
      </c>
      <c r="I140" s="27" t="s">
        <v>2</v>
      </c>
      <c r="J140" s="18">
        <v>801.36</v>
      </c>
      <c r="K140" s="33">
        <v>24.14</v>
      </c>
      <c r="L140" s="31">
        <f t="shared" si="6"/>
        <v>19344.830400000003</v>
      </c>
      <c r="M140" t="str">
        <f t="shared" si="7"/>
        <v>Low Value Product</v>
      </c>
      <c r="N140" t="str">
        <f t="shared" si="8"/>
        <v>Low Revenue Product</v>
      </c>
    </row>
    <row r="141" spans="1:14" x14ac:dyDescent="0.35">
      <c r="A141" s="20" t="s">
        <v>401</v>
      </c>
      <c r="B141" s="21" t="s">
        <v>55</v>
      </c>
      <c r="C141" s="21" t="s">
        <v>56</v>
      </c>
      <c r="D141" s="8">
        <v>276</v>
      </c>
      <c r="E141" s="18" t="s">
        <v>476</v>
      </c>
      <c r="F141" s="21">
        <v>155</v>
      </c>
      <c r="G141" s="21">
        <v>9041150</v>
      </c>
      <c r="H141" s="21" t="s">
        <v>157</v>
      </c>
      <c r="I141" s="28" t="s">
        <v>2</v>
      </c>
      <c r="J141" s="21">
        <v>0.09</v>
      </c>
      <c r="K141" s="34">
        <v>281.94</v>
      </c>
      <c r="L141" s="31">
        <f t="shared" si="6"/>
        <v>25.374599999999997</v>
      </c>
      <c r="M141" t="str">
        <f t="shared" si="7"/>
        <v>Low Value Product</v>
      </c>
      <c r="N141" t="str">
        <f t="shared" si="8"/>
        <v>Low Revenue Product</v>
      </c>
    </row>
    <row r="142" spans="1:14" x14ac:dyDescent="0.35">
      <c r="A142" s="15" t="s">
        <v>401</v>
      </c>
      <c r="B142" s="16" t="s">
        <v>100</v>
      </c>
      <c r="C142" s="16" t="s">
        <v>101</v>
      </c>
      <c r="D142" s="17">
        <v>705</v>
      </c>
      <c r="E142" s="18" t="s">
        <v>477</v>
      </c>
      <c r="F142" s="16">
        <v>39</v>
      </c>
      <c r="G142" s="16">
        <v>29397990</v>
      </c>
      <c r="H142" s="16" t="s">
        <v>10</v>
      </c>
      <c r="I142" s="27" t="s">
        <v>2</v>
      </c>
      <c r="J142" s="18">
        <v>0.05</v>
      </c>
      <c r="K142" s="33">
        <v>0.35</v>
      </c>
      <c r="L142" s="31">
        <f t="shared" si="6"/>
        <v>1.7499999999999998E-2</v>
      </c>
      <c r="M142" t="str">
        <f t="shared" si="7"/>
        <v>Low Value Product</v>
      </c>
      <c r="N142" t="str">
        <f t="shared" si="8"/>
        <v>Low Revenue Product</v>
      </c>
    </row>
    <row r="143" spans="1:14" x14ac:dyDescent="0.35">
      <c r="A143" s="20" t="s">
        <v>401</v>
      </c>
      <c r="B143" s="21" t="s">
        <v>55</v>
      </c>
      <c r="C143" s="21" t="s">
        <v>56</v>
      </c>
      <c r="D143" s="8">
        <v>276</v>
      </c>
      <c r="E143" s="18" t="s">
        <v>476</v>
      </c>
      <c r="F143" s="21">
        <v>155</v>
      </c>
      <c r="G143" s="21">
        <v>42034090</v>
      </c>
      <c r="H143" s="21" t="s">
        <v>10</v>
      </c>
      <c r="I143" s="28" t="s">
        <v>2</v>
      </c>
      <c r="J143" s="21">
        <v>1.45</v>
      </c>
      <c r="K143" s="34">
        <v>10.3</v>
      </c>
      <c r="L143" s="31">
        <f t="shared" si="6"/>
        <v>14.935</v>
      </c>
      <c r="M143" t="str">
        <f t="shared" si="7"/>
        <v>Low Value Product</v>
      </c>
      <c r="N143" t="str">
        <f t="shared" si="8"/>
        <v>Low Revenue Product</v>
      </c>
    </row>
    <row r="144" spans="1:14" x14ac:dyDescent="0.35">
      <c r="A144" s="19" t="s">
        <v>401</v>
      </c>
      <c r="B144" s="18" t="s">
        <v>370</v>
      </c>
      <c r="C144" s="18" t="s">
        <v>0</v>
      </c>
      <c r="D144" s="7">
        <v>826</v>
      </c>
      <c r="E144" s="18" t="s">
        <v>478</v>
      </c>
      <c r="F144" s="18">
        <v>154</v>
      </c>
      <c r="G144" s="18">
        <v>58089040</v>
      </c>
      <c r="H144" s="18" t="s">
        <v>141</v>
      </c>
      <c r="I144" s="27" t="s">
        <v>21</v>
      </c>
      <c r="J144" s="18">
        <v>0.01</v>
      </c>
      <c r="K144" s="33">
        <v>0.16</v>
      </c>
      <c r="L144" s="31">
        <f t="shared" si="6"/>
        <v>1.6000000000000001E-3</v>
      </c>
      <c r="M144" t="str">
        <f t="shared" si="7"/>
        <v>Low Value Product</v>
      </c>
      <c r="N144" t="str">
        <f t="shared" si="8"/>
        <v>Low Revenue Product</v>
      </c>
    </row>
    <row r="145" spans="1:14" x14ac:dyDescent="0.35">
      <c r="A145" s="19" t="s">
        <v>401</v>
      </c>
      <c r="B145" s="18" t="s">
        <v>11</v>
      </c>
      <c r="C145" s="18" t="s">
        <v>12</v>
      </c>
      <c r="D145" s="7">
        <v>643</v>
      </c>
      <c r="E145" s="18" t="s">
        <v>479</v>
      </c>
      <c r="F145" s="18">
        <v>151</v>
      </c>
      <c r="G145" s="18">
        <v>40141010</v>
      </c>
      <c r="H145" s="18" t="s">
        <v>149</v>
      </c>
      <c r="I145" s="28" t="s">
        <v>2</v>
      </c>
      <c r="J145" s="21">
        <v>7.01</v>
      </c>
      <c r="K145" s="34">
        <v>68.3</v>
      </c>
      <c r="L145" s="31">
        <f t="shared" si="6"/>
        <v>478.78299999999996</v>
      </c>
      <c r="M145" t="str">
        <f t="shared" si="7"/>
        <v>Low Value Product</v>
      </c>
      <c r="N145" t="str">
        <f t="shared" si="8"/>
        <v>Low Revenue Product</v>
      </c>
    </row>
    <row r="146" spans="1:14" x14ac:dyDescent="0.35">
      <c r="A146" s="19" t="s">
        <v>402</v>
      </c>
      <c r="B146" s="18" t="s">
        <v>5</v>
      </c>
      <c r="C146" s="18" t="s">
        <v>6</v>
      </c>
      <c r="D146" s="7">
        <v>756</v>
      </c>
      <c r="E146" s="18" t="s">
        <v>476</v>
      </c>
      <c r="F146" s="18">
        <v>155</v>
      </c>
      <c r="G146" s="18">
        <v>73269099</v>
      </c>
      <c r="H146" s="18" t="s">
        <v>105</v>
      </c>
      <c r="I146" s="27" t="s">
        <v>2</v>
      </c>
      <c r="J146" s="18">
        <v>81.569999999999993</v>
      </c>
      <c r="K146" s="33">
        <v>222.69</v>
      </c>
      <c r="L146" s="31">
        <f t="shared" si="6"/>
        <v>18164.8233</v>
      </c>
      <c r="M146" t="str">
        <f t="shared" si="7"/>
        <v>Low Value Product</v>
      </c>
      <c r="N146" t="str">
        <f t="shared" si="8"/>
        <v>Low Revenue Product</v>
      </c>
    </row>
    <row r="147" spans="1:14" x14ac:dyDescent="0.35">
      <c r="A147" s="20" t="s">
        <v>402</v>
      </c>
      <c r="B147" s="21" t="s">
        <v>62</v>
      </c>
      <c r="C147" s="21" t="s">
        <v>63</v>
      </c>
      <c r="D147" s="8">
        <v>752</v>
      </c>
      <c r="E147" s="18" t="s">
        <v>478</v>
      </c>
      <c r="F147" s="21">
        <v>154</v>
      </c>
      <c r="G147" s="21">
        <v>57019090</v>
      </c>
      <c r="H147" s="21" t="s">
        <v>577</v>
      </c>
      <c r="I147" s="28" t="s">
        <v>2</v>
      </c>
      <c r="J147" s="21"/>
      <c r="K147" s="34">
        <v>0.54</v>
      </c>
      <c r="L147" s="31">
        <f t="shared" si="6"/>
        <v>0</v>
      </c>
      <c r="M147" t="str">
        <f t="shared" si="7"/>
        <v>Low Value Product</v>
      </c>
      <c r="N147" t="str">
        <f t="shared" si="8"/>
        <v>Low Revenue Product</v>
      </c>
    </row>
    <row r="148" spans="1:14" x14ac:dyDescent="0.35">
      <c r="A148" s="19" t="s">
        <v>402</v>
      </c>
      <c r="B148" s="18" t="s">
        <v>83</v>
      </c>
      <c r="C148" s="18" t="s">
        <v>84</v>
      </c>
      <c r="D148" s="7">
        <v>804</v>
      </c>
      <c r="E148" s="18" t="s">
        <v>479</v>
      </c>
      <c r="F148" s="18">
        <v>151</v>
      </c>
      <c r="G148" s="18">
        <v>33043000</v>
      </c>
      <c r="H148" s="18" t="s">
        <v>280</v>
      </c>
      <c r="I148" s="27" t="s">
        <v>2</v>
      </c>
      <c r="J148" s="18">
        <v>14.78</v>
      </c>
      <c r="K148" s="33">
        <v>87.36</v>
      </c>
      <c r="L148" s="31">
        <f t="shared" si="6"/>
        <v>1291.1807999999999</v>
      </c>
      <c r="M148" t="str">
        <f t="shared" si="7"/>
        <v>Low Value Product</v>
      </c>
      <c r="N148" t="str">
        <f t="shared" si="8"/>
        <v>Low Revenue Product</v>
      </c>
    </row>
    <row r="149" spans="1:14" x14ac:dyDescent="0.35">
      <c r="A149" s="20" t="s">
        <v>402</v>
      </c>
      <c r="B149" s="21" t="s">
        <v>369</v>
      </c>
      <c r="C149" s="21" t="s">
        <v>3</v>
      </c>
      <c r="D149" s="8">
        <v>528</v>
      </c>
      <c r="E149" s="18" t="s">
        <v>476</v>
      </c>
      <c r="F149" s="21">
        <v>155</v>
      </c>
      <c r="G149" s="21">
        <v>85363000</v>
      </c>
      <c r="H149" s="21" t="s">
        <v>567</v>
      </c>
      <c r="I149" s="28" t="s">
        <v>17</v>
      </c>
      <c r="J149" s="21">
        <v>0.4</v>
      </c>
      <c r="K149" s="34">
        <v>14.8</v>
      </c>
      <c r="L149" s="31">
        <f t="shared" si="6"/>
        <v>5.9200000000000008</v>
      </c>
      <c r="M149" t="str">
        <f t="shared" si="7"/>
        <v>Low Value Product</v>
      </c>
      <c r="N149" t="str">
        <f t="shared" si="8"/>
        <v>Low Revenue Product</v>
      </c>
    </row>
    <row r="150" spans="1:14" x14ac:dyDescent="0.35">
      <c r="A150" s="15" t="s">
        <v>402</v>
      </c>
      <c r="B150" s="16" t="s">
        <v>22</v>
      </c>
      <c r="C150" s="16" t="s">
        <v>23</v>
      </c>
      <c r="D150" s="17">
        <v>380</v>
      </c>
      <c r="E150" s="18" t="s">
        <v>477</v>
      </c>
      <c r="F150" s="16">
        <v>39</v>
      </c>
      <c r="G150" s="16">
        <v>29270090</v>
      </c>
      <c r="H150" s="16" t="s">
        <v>298</v>
      </c>
      <c r="I150" s="27" t="s">
        <v>2</v>
      </c>
      <c r="J150" s="18">
        <v>0.03</v>
      </c>
      <c r="K150" s="33">
        <v>0.01</v>
      </c>
      <c r="L150" s="31">
        <f t="shared" si="6"/>
        <v>2.9999999999999997E-4</v>
      </c>
      <c r="M150" t="str">
        <f t="shared" si="7"/>
        <v>Low Value Product</v>
      </c>
      <c r="N150" t="str">
        <f t="shared" si="8"/>
        <v>Low Revenue Product</v>
      </c>
    </row>
    <row r="151" spans="1:14" x14ac:dyDescent="0.35">
      <c r="A151" s="19" t="s">
        <v>402</v>
      </c>
      <c r="B151" s="18" t="s">
        <v>369</v>
      </c>
      <c r="C151" s="18" t="s">
        <v>3</v>
      </c>
      <c r="D151" s="7">
        <v>528</v>
      </c>
      <c r="E151" s="18" t="s">
        <v>476</v>
      </c>
      <c r="F151" s="18">
        <v>155</v>
      </c>
      <c r="G151" s="18">
        <v>87082900</v>
      </c>
      <c r="H151" s="18" t="s">
        <v>568</v>
      </c>
      <c r="I151" s="28" t="s">
        <v>21</v>
      </c>
      <c r="J151" s="21">
        <v>0.01</v>
      </c>
      <c r="K151" s="34">
        <v>7.0000000000000007E-2</v>
      </c>
      <c r="L151" s="31">
        <f t="shared" si="6"/>
        <v>7.000000000000001E-4</v>
      </c>
      <c r="M151" t="str">
        <f t="shared" si="7"/>
        <v>Low Value Product</v>
      </c>
      <c r="N151" t="str">
        <f t="shared" si="8"/>
        <v>Low Revenue Product</v>
      </c>
    </row>
    <row r="152" spans="1:14" x14ac:dyDescent="0.35">
      <c r="A152" s="19" t="s">
        <v>402</v>
      </c>
      <c r="B152" s="18" t="s">
        <v>370</v>
      </c>
      <c r="C152" s="18" t="s">
        <v>0</v>
      </c>
      <c r="D152" s="7">
        <v>826</v>
      </c>
      <c r="E152" s="18" t="s">
        <v>478</v>
      </c>
      <c r="F152" s="18">
        <v>154</v>
      </c>
      <c r="G152" s="18">
        <v>8072000</v>
      </c>
      <c r="H152" s="18" t="s">
        <v>250</v>
      </c>
      <c r="I152" s="27" t="s">
        <v>2</v>
      </c>
      <c r="J152" s="18">
        <v>1</v>
      </c>
      <c r="K152" s="33">
        <v>8</v>
      </c>
      <c r="L152" s="31">
        <f t="shared" si="6"/>
        <v>8</v>
      </c>
      <c r="M152" t="str">
        <f t="shared" si="7"/>
        <v>Low Value Product</v>
      </c>
      <c r="N152" t="str">
        <f t="shared" si="8"/>
        <v>Low Revenue Product</v>
      </c>
    </row>
    <row r="153" spans="1:14" x14ac:dyDescent="0.35">
      <c r="A153" s="20" t="s">
        <v>403</v>
      </c>
      <c r="B153" s="21" t="s">
        <v>11</v>
      </c>
      <c r="C153" s="21" t="s">
        <v>12</v>
      </c>
      <c r="D153" s="8">
        <v>643</v>
      </c>
      <c r="E153" s="18" t="s">
        <v>479</v>
      </c>
      <c r="F153" s="21">
        <v>151</v>
      </c>
      <c r="G153" s="21">
        <v>40117000</v>
      </c>
      <c r="H153" s="21" t="s">
        <v>271</v>
      </c>
      <c r="I153" s="28" t="s">
        <v>2</v>
      </c>
      <c r="J153" s="21">
        <v>1.23</v>
      </c>
      <c r="K153" s="34">
        <v>83.61</v>
      </c>
      <c r="L153" s="31">
        <f t="shared" si="6"/>
        <v>102.8403</v>
      </c>
      <c r="M153" t="str">
        <f t="shared" si="7"/>
        <v>Low Value Product</v>
      </c>
      <c r="N153" t="str">
        <f t="shared" si="8"/>
        <v>Low Revenue Product</v>
      </c>
    </row>
    <row r="154" spans="1:14" x14ac:dyDescent="0.35">
      <c r="A154" s="19" t="s">
        <v>403</v>
      </c>
      <c r="B154" s="18" t="s">
        <v>370</v>
      </c>
      <c r="C154" s="18" t="s">
        <v>0</v>
      </c>
      <c r="D154" s="7">
        <v>826</v>
      </c>
      <c r="E154" s="18" t="s">
        <v>478</v>
      </c>
      <c r="F154" s="18">
        <v>154</v>
      </c>
      <c r="G154" s="18">
        <v>32041159</v>
      </c>
      <c r="H154" s="18" t="s">
        <v>192</v>
      </c>
      <c r="I154" s="27" t="s">
        <v>2</v>
      </c>
      <c r="J154" s="18">
        <v>16.600000000000001</v>
      </c>
      <c r="K154" s="33">
        <v>131.47</v>
      </c>
      <c r="L154" s="31">
        <f t="shared" si="6"/>
        <v>2182.402</v>
      </c>
      <c r="M154" t="str">
        <f t="shared" si="7"/>
        <v>Low Value Product</v>
      </c>
      <c r="N154" t="str">
        <f t="shared" si="8"/>
        <v>Low Revenue Product</v>
      </c>
    </row>
    <row r="155" spans="1:14" x14ac:dyDescent="0.35">
      <c r="A155" s="20" t="s">
        <v>403</v>
      </c>
      <c r="B155" s="21" t="s">
        <v>369</v>
      </c>
      <c r="C155" s="21" t="s">
        <v>3</v>
      </c>
      <c r="D155" s="8">
        <v>528</v>
      </c>
      <c r="E155" s="18" t="s">
        <v>476</v>
      </c>
      <c r="F155" s="21">
        <v>155</v>
      </c>
      <c r="G155" s="21">
        <v>30049081</v>
      </c>
      <c r="H155" s="21" t="s">
        <v>274</v>
      </c>
      <c r="I155" s="28" t="s">
        <v>21</v>
      </c>
      <c r="J155" s="21">
        <v>1.95</v>
      </c>
      <c r="K155" s="34">
        <v>416.18</v>
      </c>
      <c r="L155" s="31">
        <f t="shared" si="6"/>
        <v>811.55100000000004</v>
      </c>
      <c r="M155" t="str">
        <f t="shared" si="7"/>
        <v>Low Value Product</v>
      </c>
      <c r="N155" t="str">
        <f t="shared" si="8"/>
        <v>Low Revenue Product</v>
      </c>
    </row>
    <row r="156" spans="1:14" x14ac:dyDescent="0.35">
      <c r="A156" s="19" t="s">
        <v>404</v>
      </c>
      <c r="B156" s="18" t="s">
        <v>55</v>
      </c>
      <c r="C156" s="18" t="s">
        <v>56</v>
      </c>
      <c r="D156" s="7">
        <v>276</v>
      </c>
      <c r="E156" s="18" t="s">
        <v>476</v>
      </c>
      <c r="F156" s="18">
        <v>155</v>
      </c>
      <c r="G156" s="18">
        <v>55151290</v>
      </c>
      <c r="H156" s="18" t="s">
        <v>569</v>
      </c>
      <c r="I156" s="27" t="s">
        <v>2</v>
      </c>
      <c r="J156" s="18">
        <v>71</v>
      </c>
      <c r="K156" s="33">
        <v>8.0500000000000007</v>
      </c>
      <c r="L156" s="31">
        <f t="shared" si="6"/>
        <v>571.55000000000007</v>
      </c>
      <c r="M156" t="str">
        <f t="shared" si="7"/>
        <v>Low Value Product</v>
      </c>
      <c r="N156" t="str">
        <f t="shared" si="8"/>
        <v>Low Revenue Product</v>
      </c>
    </row>
    <row r="157" spans="1:14" x14ac:dyDescent="0.35">
      <c r="A157" s="19" t="s">
        <v>404</v>
      </c>
      <c r="B157" s="18" t="s">
        <v>62</v>
      </c>
      <c r="C157" s="18" t="s">
        <v>63</v>
      </c>
      <c r="D157" s="7">
        <v>752</v>
      </c>
      <c r="E157" s="18" t="s">
        <v>478</v>
      </c>
      <c r="F157" s="18">
        <v>154</v>
      </c>
      <c r="G157" s="18">
        <v>61033300</v>
      </c>
      <c r="H157" s="18" t="s">
        <v>335</v>
      </c>
      <c r="I157" s="28" t="s">
        <v>2</v>
      </c>
      <c r="J157" s="21">
        <v>0.1</v>
      </c>
      <c r="K157" s="34">
        <v>4.99</v>
      </c>
      <c r="L157" s="31">
        <f t="shared" si="6"/>
        <v>0.49900000000000005</v>
      </c>
      <c r="M157" t="str">
        <f t="shared" si="7"/>
        <v>Low Value Product</v>
      </c>
      <c r="N157" t="str">
        <f t="shared" si="8"/>
        <v>Low Revenue Product</v>
      </c>
    </row>
    <row r="158" spans="1:14" x14ac:dyDescent="0.35">
      <c r="A158" s="19" t="s">
        <v>404</v>
      </c>
      <c r="B158" s="18" t="s">
        <v>44</v>
      </c>
      <c r="C158" s="18" t="s">
        <v>45</v>
      </c>
      <c r="D158" s="7">
        <v>56</v>
      </c>
      <c r="E158" s="18" t="s">
        <v>476</v>
      </c>
      <c r="F158" s="18">
        <v>155</v>
      </c>
      <c r="G158" s="18">
        <v>28332100</v>
      </c>
      <c r="H158" s="18" t="s">
        <v>46</v>
      </c>
      <c r="I158" s="27" t="s">
        <v>17</v>
      </c>
      <c r="J158" s="18">
        <v>4.58</v>
      </c>
      <c r="K158" s="33">
        <v>16.93</v>
      </c>
      <c r="L158" s="31">
        <f t="shared" si="6"/>
        <v>77.539400000000001</v>
      </c>
      <c r="M158" t="str">
        <f t="shared" si="7"/>
        <v>Low Value Product</v>
      </c>
      <c r="N158" t="str">
        <f t="shared" si="8"/>
        <v>Low Revenue Product</v>
      </c>
    </row>
    <row r="159" spans="1:14" x14ac:dyDescent="0.35">
      <c r="A159" s="20" t="s">
        <v>404</v>
      </c>
      <c r="B159" s="21" t="s">
        <v>5</v>
      </c>
      <c r="C159" s="21" t="s">
        <v>6</v>
      </c>
      <c r="D159" s="8">
        <v>756</v>
      </c>
      <c r="E159" s="18" t="s">
        <v>476</v>
      </c>
      <c r="F159" s="21">
        <v>155</v>
      </c>
      <c r="G159" s="21">
        <v>21039040</v>
      </c>
      <c r="H159" s="21" t="s">
        <v>570</v>
      </c>
      <c r="I159" s="28" t="s">
        <v>2</v>
      </c>
      <c r="J159" s="21">
        <v>0.18</v>
      </c>
      <c r="K159" s="34">
        <v>0.38</v>
      </c>
      <c r="L159" s="31">
        <f t="shared" si="6"/>
        <v>6.8400000000000002E-2</v>
      </c>
      <c r="M159" t="str">
        <f t="shared" si="7"/>
        <v>Low Value Product</v>
      </c>
      <c r="N159" t="str">
        <f t="shared" si="8"/>
        <v>Low Revenue Product</v>
      </c>
    </row>
    <row r="160" spans="1:14" x14ac:dyDescent="0.35">
      <c r="A160" s="15" t="s">
        <v>404</v>
      </c>
      <c r="B160" s="16" t="s">
        <v>5</v>
      </c>
      <c r="C160" s="16" t="s">
        <v>6</v>
      </c>
      <c r="D160" s="17">
        <v>756</v>
      </c>
      <c r="E160" s="18" t="s">
        <v>476</v>
      </c>
      <c r="F160" s="16">
        <v>155</v>
      </c>
      <c r="G160" s="16">
        <v>30049079</v>
      </c>
      <c r="H160" s="16" t="s">
        <v>7</v>
      </c>
      <c r="I160" s="27" t="s">
        <v>21</v>
      </c>
      <c r="J160" s="18">
        <v>1.46</v>
      </c>
      <c r="K160" s="33">
        <v>6.2</v>
      </c>
      <c r="L160" s="31">
        <f t="shared" si="6"/>
        <v>9.0519999999999996</v>
      </c>
      <c r="M160" t="str">
        <f t="shared" si="7"/>
        <v>Low Value Product</v>
      </c>
      <c r="N160" t="str">
        <f t="shared" si="8"/>
        <v>Low Revenue Product</v>
      </c>
    </row>
    <row r="161" spans="1:14" x14ac:dyDescent="0.35">
      <c r="A161" s="20" t="s">
        <v>405</v>
      </c>
      <c r="B161" s="21" t="s">
        <v>55</v>
      </c>
      <c r="C161" s="21" t="s">
        <v>56</v>
      </c>
      <c r="D161" s="8">
        <v>276</v>
      </c>
      <c r="E161" s="18" t="s">
        <v>476</v>
      </c>
      <c r="F161" s="21">
        <v>155</v>
      </c>
      <c r="G161" s="21">
        <v>90314900</v>
      </c>
      <c r="H161" s="21" t="s">
        <v>571</v>
      </c>
      <c r="I161" s="28" t="s">
        <v>2</v>
      </c>
      <c r="J161" s="21">
        <v>1</v>
      </c>
      <c r="K161" s="34">
        <v>1.29</v>
      </c>
      <c r="L161" s="31">
        <f t="shared" si="6"/>
        <v>1.29</v>
      </c>
      <c r="M161" t="str">
        <f t="shared" si="7"/>
        <v>Low Value Product</v>
      </c>
      <c r="N161" t="str">
        <f t="shared" si="8"/>
        <v>Low Revenue Product</v>
      </c>
    </row>
    <row r="162" spans="1:14" x14ac:dyDescent="0.35">
      <c r="A162" s="15" t="s">
        <v>405</v>
      </c>
      <c r="B162" s="16" t="s">
        <v>22</v>
      </c>
      <c r="C162" s="16" t="s">
        <v>23</v>
      </c>
      <c r="D162" s="17">
        <v>380</v>
      </c>
      <c r="E162" s="18" t="s">
        <v>477</v>
      </c>
      <c r="F162" s="16">
        <v>39</v>
      </c>
      <c r="G162" s="16">
        <v>73102990</v>
      </c>
      <c r="H162" s="16" t="s">
        <v>10</v>
      </c>
      <c r="I162" s="27" t="s">
        <v>2</v>
      </c>
      <c r="J162" s="18">
        <v>6.6</v>
      </c>
      <c r="K162" s="33">
        <v>18.350000000000001</v>
      </c>
      <c r="L162" s="31">
        <f t="shared" si="6"/>
        <v>121.11</v>
      </c>
      <c r="M162" t="str">
        <f t="shared" si="7"/>
        <v>Low Value Product</v>
      </c>
      <c r="N162" t="str">
        <f t="shared" si="8"/>
        <v>Low Revenue Product</v>
      </c>
    </row>
    <row r="163" spans="1:14" x14ac:dyDescent="0.35">
      <c r="A163" s="19" t="s">
        <v>405</v>
      </c>
      <c r="B163" s="18" t="s">
        <v>86</v>
      </c>
      <c r="C163" s="18" t="s">
        <v>87</v>
      </c>
      <c r="D163" s="7">
        <v>40</v>
      </c>
      <c r="E163" s="18" t="s">
        <v>476</v>
      </c>
      <c r="F163" s="18">
        <v>155</v>
      </c>
      <c r="G163" s="18">
        <v>68159990</v>
      </c>
      <c r="H163" s="18" t="s">
        <v>10</v>
      </c>
      <c r="I163" s="28" t="s">
        <v>2</v>
      </c>
      <c r="J163" s="21">
        <v>0.21</v>
      </c>
      <c r="K163" s="34">
        <v>23.42</v>
      </c>
      <c r="L163" s="31">
        <f t="shared" si="6"/>
        <v>4.9182000000000006</v>
      </c>
      <c r="M163" t="str">
        <f t="shared" si="7"/>
        <v>Low Value Product</v>
      </c>
      <c r="N163" t="str">
        <f t="shared" si="8"/>
        <v>Low Revenue Product</v>
      </c>
    </row>
    <row r="164" spans="1:14" x14ac:dyDescent="0.35">
      <c r="A164" s="15" t="s">
        <v>405</v>
      </c>
      <c r="B164" s="16" t="s">
        <v>75</v>
      </c>
      <c r="C164" s="16" t="s">
        <v>76</v>
      </c>
      <c r="D164" s="17">
        <v>578</v>
      </c>
      <c r="E164" s="18" t="s">
        <v>478</v>
      </c>
      <c r="F164" s="16">
        <v>154</v>
      </c>
      <c r="G164" s="16">
        <v>48236900</v>
      </c>
      <c r="H164" s="16" t="s">
        <v>10</v>
      </c>
      <c r="I164" s="27" t="s">
        <v>2</v>
      </c>
      <c r="J164" s="18">
        <v>15.11</v>
      </c>
      <c r="K164" s="33">
        <v>13.56</v>
      </c>
      <c r="L164" s="31">
        <f t="shared" si="6"/>
        <v>204.89160000000001</v>
      </c>
      <c r="M164" t="str">
        <f t="shared" si="7"/>
        <v>Low Value Product</v>
      </c>
      <c r="N164" t="str">
        <f t="shared" si="8"/>
        <v>Low Revenue Product</v>
      </c>
    </row>
    <row r="165" spans="1:14" x14ac:dyDescent="0.35">
      <c r="A165" s="19" t="s">
        <v>405</v>
      </c>
      <c r="B165" s="18" t="s">
        <v>18</v>
      </c>
      <c r="C165" s="18" t="s">
        <v>19</v>
      </c>
      <c r="D165" s="7">
        <v>620</v>
      </c>
      <c r="E165" s="18" t="s">
        <v>477</v>
      </c>
      <c r="F165" s="18">
        <v>39</v>
      </c>
      <c r="G165" s="18">
        <v>39206210</v>
      </c>
      <c r="H165" s="18" t="s">
        <v>573</v>
      </c>
      <c r="I165" s="28" t="s">
        <v>2</v>
      </c>
      <c r="J165" s="21">
        <v>0.2</v>
      </c>
      <c r="K165" s="34">
        <v>0.28000000000000003</v>
      </c>
      <c r="L165" s="31">
        <f t="shared" si="6"/>
        <v>5.6000000000000008E-2</v>
      </c>
      <c r="M165" t="str">
        <f t="shared" si="7"/>
        <v>Low Value Product</v>
      </c>
      <c r="N165" t="str">
        <f t="shared" si="8"/>
        <v>Low Revenue Product</v>
      </c>
    </row>
    <row r="166" spans="1:14" x14ac:dyDescent="0.35">
      <c r="A166" s="19" t="s">
        <v>406</v>
      </c>
      <c r="B166" s="18" t="s">
        <v>369</v>
      </c>
      <c r="C166" s="18" t="s">
        <v>3</v>
      </c>
      <c r="D166" s="7">
        <v>528</v>
      </c>
      <c r="E166" s="18" t="s">
        <v>476</v>
      </c>
      <c r="F166" s="18">
        <v>155</v>
      </c>
      <c r="G166" s="18">
        <v>30042013</v>
      </c>
      <c r="H166" s="18" t="s">
        <v>247</v>
      </c>
      <c r="I166" s="27" t="s">
        <v>2</v>
      </c>
      <c r="J166" s="18">
        <v>138.74</v>
      </c>
      <c r="K166" s="33">
        <v>878.72</v>
      </c>
      <c r="L166" s="31">
        <f t="shared" si="6"/>
        <v>121913.61280000002</v>
      </c>
      <c r="M166" t="str">
        <f t="shared" si="7"/>
        <v>Low Value Product</v>
      </c>
      <c r="N166" t="str">
        <f t="shared" si="8"/>
        <v>High Revenue Product</v>
      </c>
    </row>
    <row r="167" spans="1:14" x14ac:dyDescent="0.35">
      <c r="A167" s="19" t="s">
        <v>406</v>
      </c>
      <c r="B167" s="18" t="s">
        <v>55</v>
      </c>
      <c r="C167" s="18" t="s">
        <v>56</v>
      </c>
      <c r="D167" s="7">
        <v>276</v>
      </c>
      <c r="E167" s="18" t="s">
        <v>476</v>
      </c>
      <c r="F167" s="18">
        <v>155</v>
      </c>
      <c r="G167" s="18">
        <v>84099941</v>
      </c>
      <c r="H167" s="18" t="s">
        <v>183</v>
      </c>
      <c r="I167" s="28" t="s">
        <v>21</v>
      </c>
      <c r="J167" s="21">
        <v>1.03</v>
      </c>
      <c r="K167" s="34">
        <v>11.61</v>
      </c>
      <c r="L167" s="31">
        <f t="shared" si="6"/>
        <v>11.958299999999999</v>
      </c>
      <c r="M167" t="str">
        <f t="shared" si="7"/>
        <v>Low Value Product</v>
      </c>
      <c r="N167" t="str">
        <f t="shared" si="8"/>
        <v>Low Revenue Product</v>
      </c>
    </row>
    <row r="168" spans="1:14" x14ac:dyDescent="0.35">
      <c r="A168" s="15" t="s">
        <v>406</v>
      </c>
      <c r="B168" s="16" t="s">
        <v>60</v>
      </c>
      <c r="C168" s="16" t="s">
        <v>61</v>
      </c>
      <c r="D168" s="17">
        <v>724</v>
      </c>
      <c r="E168" s="18" t="s">
        <v>477</v>
      </c>
      <c r="F168" s="16">
        <v>39</v>
      </c>
      <c r="G168" s="16">
        <v>9101120</v>
      </c>
      <c r="H168" s="16" t="s">
        <v>137</v>
      </c>
      <c r="I168" s="27" t="s">
        <v>2</v>
      </c>
      <c r="J168" s="18">
        <v>10.3</v>
      </c>
      <c r="K168" s="33">
        <v>24.9</v>
      </c>
      <c r="L168" s="31">
        <f t="shared" si="6"/>
        <v>256.47000000000003</v>
      </c>
      <c r="M168" t="str">
        <f t="shared" si="7"/>
        <v>Low Value Product</v>
      </c>
      <c r="N168" t="str">
        <f t="shared" si="8"/>
        <v>Low Revenue Product</v>
      </c>
    </row>
    <row r="169" spans="1:14" x14ac:dyDescent="0.35">
      <c r="A169" s="20" t="s">
        <v>406</v>
      </c>
      <c r="B169" s="21" t="s">
        <v>86</v>
      </c>
      <c r="C169" s="21" t="s">
        <v>87</v>
      </c>
      <c r="D169" s="8">
        <v>40</v>
      </c>
      <c r="E169" s="18" t="s">
        <v>476</v>
      </c>
      <c r="F169" s="21">
        <v>155</v>
      </c>
      <c r="G169" s="21">
        <v>85369010</v>
      </c>
      <c r="H169" s="21" t="s">
        <v>116</v>
      </c>
      <c r="I169" s="28" t="s">
        <v>2</v>
      </c>
      <c r="J169" s="21">
        <v>50</v>
      </c>
      <c r="K169" s="34">
        <v>106.51</v>
      </c>
      <c r="L169" s="31">
        <f t="shared" si="6"/>
        <v>5325.5</v>
      </c>
      <c r="M169" t="str">
        <f t="shared" si="7"/>
        <v>Low Value Product</v>
      </c>
      <c r="N169" t="str">
        <f t="shared" si="8"/>
        <v>Low Revenue Product</v>
      </c>
    </row>
    <row r="170" spans="1:14" x14ac:dyDescent="0.35">
      <c r="A170" s="19" t="s">
        <v>406</v>
      </c>
      <c r="B170" s="18" t="s">
        <v>86</v>
      </c>
      <c r="C170" s="18" t="s">
        <v>87</v>
      </c>
      <c r="D170" s="7">
        <v>40</v>
      </c>
      <c r="E170" s="18" t="s">
        <v>476</v>
      </c>
      <c r="F170" s="18">
        <v>155</v>
      </c>
      <c r="G170" s="18">
        <v>39095000</v>
      </c>
      <c r="H170" s="18" t="s">
        <v>206</v>
      </c>
      <c r="I170" s="27" t="s">
        <v>2</v>
      </c>
      <c r="J170" s="18">
        <v>1.95</v>
      </c>
      <c r="K170" s="33">
        <v>46.69</v>
      </c>
      <c r="L170" s="31">
        <f t="shared" si="6"/>
        <v>91.04549999999999</v>
      </c>
      <c r="M170" t="str">
        <f t="shared" si="7"/>
        <v>Low Value Product</v>
      </c>
      <c r="N170" t="str">
        <f t="shared" si="8"/>
        <v>Low Revenue Product</v>
      </c>
    </row>
    <row r="171" spans="1:14" x14ac:dyDescent="0.35">
      <c r="A171" s="20" t="s">
        <v>407</v>
      </c>
      <c r="B171" s="21" t="s">
        <v>62</v>
      </c>
      <c r="C171" s="21" t="s">
        <v>63</v>
      </c>
      <c r="D171" s="8">
        <v>752</v>
      </c>
      <c r="E171" s="18" t="s">
        <v>478</v>
      </c>
      <c r="F171" s="21">
        <v>154</v>
      </c>
      <c r="G171" s="21">
        <v>83021010</v>
      </c>
      <c r="H171" s="21" t="s">
        <v>578</v>
      </c>
      <c r="I171" s="28" t="s">
        <v>2</v>
      </c>
      <c r="J171" s="21">
        <v>3827</v>
      </c>
      <c r="K171" s="34">
        <v>0.76</v>
      </c>
      <c r="L171" s="31">
        <f t="shared" si="6"/>
        <v>2908.52</v>
      </c>
      <c r="M171" t="str">
        <f t="shared" si="7"/>
        <v>Low Value Product</v>
      </c>
      <c r="N171" t="str">
        <f t="shared" si="8"/>
        <v>Low Revenue Product</v>
      </c>
    </row>
    <row r="172" spans="1:14" x14ac:dyDescent="0.35">
      <c r="A172" s="15" t="s">
        <v>407</v>
      </c>
      <c r="B172" s="16" t="s">
        <v>11</v>
      </c>
      <c r="C172" s="16" t="s">
        <v>12</v>
      </c>
      <c r="D172" s="17">
        <v>643</v>
      </c>
      <c r="E172" s="18" t="s">
        <v>479</v>
      </c>
      <c r="F172" s="16">
        <v>151</v>
      </c>
      <c r="G172" s="16">
        <v>84212200</v>
      </c>
      <c r="H172" s="16" t="s">
        <v>579</v>
      </c>
      <c r="I172" s="27" t="s">
        <v>21</v>
      </c>
      <c r="J172" s="18">
        <v>3</v>
      </c>
      <c r="K172" s="33">
        <v>0.04</v>
      </c>
      <c r="L172" s="31">
        <f t="shared" si="6"/>
        <v>0.12</v>
      </c>
      <c r="M172" t="str">
        <f t="shared" si="7"/>
        <v>Low Value Product</v>
      </c>
      <c r="N172" t="str">
        <f t="shared" si="8"/>
        <v>Low Revenue Product</v>
      </c>
    </row>
    <row r="173" spans="1:14" x14ac:dyDescent="0.35">
      <c r="A173" s="19" t="s">
        <v>407</v>
      </c>
      <c r="B173" s="18" t="s">
        <v>55</v>
      </c>
      <c r="C173" s="18" t="s">
        <v>56</v>
      </c>
      <c r="D173" s="7">
        <v>276</v>
      </c>
      <c r="E173" s="18" t="s">
        <v>476</v>
      </c>
      <c r="F173" s="18">
        <v>155</v>
      </c>
      <c r="G173" s="18">
        <v>84671190</v>
      </c>
      <c r="H173" s="18" t="s">
        <v>580</v>
      </c>
      <c r="I173" s="28" t="s">
        <v>2</v>
      </c>
      <c r="J173" s="21">
        <v>510</v>
      </c>
      <c r="K173" s="34">
        <v>0.24</v>
      </c>
      <c r="L173" s="31">
        <f t="shared" si="6"/>
        <v>122.39999999999999</v>
      </c>
      <c r="M173" t="str">
        <f t="shared" si="7"/>
        <v>Low Value Product</v>
      </c>
      <c r="N173" t="str">
        <f t="shared" si="8"/>
        <v>Low Revenue Product</v>
      </c>
    </row>
    <row r="174" spans="1:14" x14ac:dyDescent="0.35">
      <c r="A174" s="19" t="s">
        <v>407</v>
      </c>
      <c r="B174" s="18" t="s">
        <v>369</v>
      </c>
      <c r="C174" s="18" t="s">
        <v>3</v>
      </c>
      <c r="D174" s="7">
        <v>528</v>
      </c>
      <c r="E174" s="18" t="s">
        <v>476</v>
      </c>
      <c r="F174" s="18">
        <v>155</v>
      </c>
      <c r="G174" s="18">
        <v>85115000</v>
      </c>
      <c r="H174" s="18" t="s">
        <v>305</v>
      </c>
      <c r="I174" s="27" t="s">
        <v>21</v>
      </c>
      <c r="J174" s="18">
        <v>672</v>
      </c>
      <c r="K174" s="33">
        <v>0.33</v>
      </c>
      <c r="L174" s="31">
        <f t="shared" si="6"/>
        <v>221.76000000000002</v>
      </c>
      <c r="M174" t="str">
        <f t="shared" si="7"/>
        <v>Low Value Product</v>
      </c>
      <c r="N174" t="str">
        <f t="shared" si="8"/>
        <v>Low Revenue Product</v>
      </c>
    </row>
    <row r="175" spans="1:14" x14ac:dyDescent="0.35">
      <c r="A175" s="19" t="s">
        <v>407</v>
      </c>
      <c r="B175" s="18" t="s">
        <v>38</v>
      </c>
      <c r="C175" s="18" t="s">
        <v>39</v>
      </c>
      <c r="D175" s="7">
        <v>703</v>
      </c>
      <c r="E175" s="18" t="s">
        <v>479</v>
      </c>
      <c r="F175" s="18">
        <v>151</v>
      </c>
      <c r="G175" s="18">
        <v>83016000</v>
      </c>
      <c r="H175" s="18" t="s">
        <v>304</v>
      </c>
      <c r="I175" s="28" t="s">
        <v>2</v>
      </c>
      <c r="J175" s="21">
        <v>32720</v>
      </c>
      <c r="K175" s="34">
        <v>3.05</v>
      </c>
      <c r="L175" s="31">
        <f t="shared" si="6"/>
        <v>99796</v>
      </c>
      <c r="M175" t="str">
        <f t="shared" si="7"/>
        <v>Low Value Product</v>
      </c>
      <c r="N175" t="str">
        <f t="shared" si="8"/>
        <v>Medium Revenue Product</v>
      </c>
    </row>
    <row r="176" spans="1:14" x14ac:dyDescent="0.35">
      <c r="A176" s="19" t="s">
        <v>407</v>
      </c>
      <c r="B176" s="18" t="s">
        <v>22</v>
      </c>
      <c r="C176" s="18" t="s">
        <v>23</v>
      </c>
      <c r="D176" s="7">
        <v>380</v>
      </c>
      <c r="E176" s="18" t="s">
        <v>477</v>
      </c>
      <c r="F176" s="18">
        <v>39</v>
      </c>
      <c r="G176" s="18">
        <v>84779000</v>
      </c>
      <c r="H176" s="18" t="s">
        <v>273</v>
      </c>
      <c r="I176" s="27" t="s">
        <v>21</v>
      </c>
      <c r="J176" s="18">
        <v>85</v>
      </c>
      <c r="K176" s="33">
        <v>0.05</v>
      </c>
      <c r="L176" s="31">
        <f t="shared" si="6"/>
        <v>4.25</v>
      </c>
      <c r="M176" t="str">
        <f t="shared" si="7"/>
        <v>Low Value Product</v>
      </c>
      <c r="N176" t="str">
        <f t="shared" si="8"/>
        <v>Low Revenue Product</v>
      </c>
    </row>
    <row r="177" spans="1:14" x14ac:dyDescent="0.35">
      <c r="A177" s="20" t="s">
        <v>407</v>
      </c>
      <c r="B177" s="21" t="s">
        <v>55</v>
      </c>
      <c r="C177" s="21" t="s">
        <v>56</v>
      </c>
      <c r="D177" s="8">
        <v>276</v>
      </c>
      <c r="E177" s="18" t="s">
        <v>476</v>
      </c>
      <c r="F177" s="21">
        <v>155</v>
      </c>
      <c r="G177" s="21">
        <v>84029090</v>
      </c>
      <c r="H177" s="21" t="s">
        <v>581</v>
      </c>
      <c r="I177" s="28" t="s">
        <v>21</v>
      </c>
      <c r="J177" s="21">
        <v>4</v>
      </c>
      <c r="K177" s="34">
        <v>0.96</v>
      </c>
      <c r="L177" s="31">
        <f t="shared" si="6"/>
        <v>3.84</v>
      </c>
      <c r="M177" t="str">
        <f t="shared" si="7"/>
        <v>Low Value Product</v>
      </c>
      <c r="N177" t="str">
        <f t="shared" si="8"/>
        <v>Low Revenue Product</v>
      </c>
    </row>
    <row r="178" spans="1:14" x14ac:dyDescent="0.35">
      <c r="A178" s="15" t="s">
        <v>407</v>
      </c>
      <c r="B178" s="16" t="s">
        <v>44</v>
      </c>
      <c r="C178" s="16" t="s">
        <v>45</v>
      </c>
      <c r="D178" s="17">
        <v>56</v>
      </c>
      <c r="E178" s="18" t="s">
        <v>476</v>
      </c>
      <c r="F178" s="16">
        <v>155</v>
      </c>
      <c r="G178" s="16">
        <v>84814000</v>
      </c>
      <c r="H178" s="16" t="s">
        <v>108</v>
      </c>
      <c r="I178" s="27" t="s">
        <v>2</v>
      </c>
      <c r="J178" s="18">
        <v>179</v>
      </c>
      <c r="K178" s="33">
        <v>0.18</v>
      </c>
      <c r="L178" s="31">
        <f t="shared" si="6"/>
        <v>32.22</v>
      </c>
      <c r="M178" t="str">
        <f t="shared" si="7"/>
        <v>Low Value Product</v>
      </c>
      <c r="N178" t="str">
        <f t="shared" si="8"/>
        <v>Low Revenue Product</v>
      </c>
    </row>
    <row r="179" spans="1:14" x14ac:dyDescent="0.35">
      <c r="A179" s="20" t="s">
        <v>407</v>
      </c>
      <c r="B179" s="21" t="s">
        <v>55</v>
      </c>
      <c r="C179" s="21" t="s">
        <v>56</v>
      </c>
      <c r="D179" s="8">
        <v>276</v>
      </c>
      <c r="E179" s="18" t="s">
        <v>476</v>
      </c>
      <c r="F179" s="21">
        <v>155</v>
      </c>
      <c r="G179" s="21">
        <v>38151100</v>
      </c>
      <c r="H179" s="21" t="s">
        <v>525</v>
      </c>
      <c r="I179" s="28" t="s">
        <v>2</v>
      </c>
      <c r="J179" s="21">
        <v>76</v>
      </c>
      <c r="K179" s="34">
        <v>0</v>
      </c>
      <c r="L179" s="31">
        <f t="shared" si="6"/>
        <v>0</v>
      </c>
      <c r="M179" t="str">
        <f t="shared" si="7"/>
        <v>Low Value Product</v>
      </c>
      <c r="N179" t="str">
        <f t="shared" si="8"/>
        <v>Low Revenue Product</v>
      </c>
    </row>
    <row r="180" spans="1:14" x14ac:dyDescent="0.35">
      <c r="A180" s="15" t="s">
        <v>408</v>
      </c>
      <c r="B180" s="16" t="s">
        <v>369</v>
      </c>
      <c r="C180" s="16" t="s">
        <v>3</v>
      </c>
      <c r="D180" s="17">
        <v>528</v>
      </c>
      <c r="E180" s="18" t="s">
        <v>476</v>
      </c>
      <c r="F180" s="16">
        <v>155</v>
      </c>
      <c r="G180" s="16">
        <v>87084000</v>
      </c>
      <c r="H180" s="16" t="s">
        <v>167</v>
      </c>
      <c r="I180" s="27" t="s">
        <v>21</v>
      </c>
      <c r="J180" s="18">
        <v>3.82</v>
      </c>
      <c r="K180" s="33">
        <v>57.86</v>
      </c>
      <c r="L180" s="31">
        <f t="shared" si="6"/>
        <v>221.02519999999998</v>
      </c>
      <c r="M180" t="str">
        <f t="shared" si="7"/>
        <v>Low Value Product</v>
      </c>
      <c r="N180" t="str">
        <f t="shared" si="8"/>
        <v>Low Revenue Product</v>
      </c>
    </row>
    <row r="181" spans="1:14" x14ac:dyDescent="0.35">
      <c r="A181" s="19" t="s">
        <v>408</v>
      </c>
      <c r="B181" s="18" t="s">
        <v>22</v>
      </c>
      <c r="C181" s="18" t="s">
        <v>23</v>
      </c>
      <c r="D181" s="7">
        <v>380</v>
      </c>
      <c r="E181" s="18" t="s">
        <v>477</v>
      </c>
      <c r="F181" s="18">
        <v>39</v>
      </c>
      <c r="G181" s="18">
        <v>90251990</v>
      </c>
      <c r="H181" s="18" t="s">
        <v>10</v>
      </c>
      <c r="I181" s="28" t="s">
        <v>2</v>
      </c>
      <c r="J181" s="21"/>
      <c r="K181" s="34">
        <v>0.04</v>
      </c>
      <c r="L181" s="31">
        <f t="shared" si="6"/>
        <v>0</v>
      </c>
      <c r="M181" t="str">
        <f t="shared" si="7"/>
        <v>Low Value Product</v>
      </c>
      <c r="N181" t="str">
        <f t="shared" si="8"/>
        <v>Low Revenue Product</v>
      </c>
    </row>
    <row r="182" spans="1:14" x14ac:dyDescent="0.35">
      <c r="A182" s="19" t="s">
        <v>408</v>
      </c>
      <c r="B182" s="18" t="s">
        <v>75</v>
      </c>
      <c r="C182" s="18" t="s">
        <v>76</v>
      </c>
      <c r="D182" s="7">
        <v>578</v>
      </c>
      <c r="E182" s="18" t="s">
        <v>478</v>
      </c>
      <c r="F182" s="18">
        <v>154</v>
      </c>
      <c r="G182" s="18">
        <v>85143090</v>
      </c>
      <c r="H182" s="18" t="s">
        <v>10</v>
      </c>
      <c r="I182" s="27" t="s">
        <v>21</v>
      </c>
      <c r="J182" s="18">
        <v>0</v>
      </c>
      <c r="K182" s="33">
        <v>2.93</v>
      </c>
      <c r="L182" s="31">
        <f t="shared" si="6"/>
        <v>0</v>
      </c>
      <c r="M182" t="str">
        <f t="shared" si="7"/>
        <v>Low Value Product</v>
      </c>
      <c r="N182" t="str">
        <f t="shared" si="8"/>
        <v>Low Revenue Product</v>
      </c>
    </row>
    <row r="183" spans="1:14" x14ac:dyDescent="0.35">
      <c r="A183" s="20" t="s">
        <v>408</v>
      </c>
      <c r="B183" s="21" t="s">
        <v>134</v>
      </c>
      <c r="C183" s="21" t="s">
        <v>135</v>
      </c>
      <c r="D183" s="8">
        <v>300</v>
      </c>
      <c r="E183" s="18" t="s">
        <v>477</v>
      </c>
      <c r="F183" s="21">
        <v>39</v>
      </c>
      <c r="G183" s="21">
        <v>85049090</v>
      </c>
      <c r="H183" s="21" t="s">
        <v>503</v>
      </c>
      <c r="I183" s="28" t="s">
        <v>2</v>
      </c>
      <c r="J183" s="21">
        <v>32.119999999999997</v>
      </c>
      <c r="K183" s="34">
        <v>326.36</v>
      </c>
      <c r="L183" s="31">
        <f t="shared" si="6"/>
        <v>10482.683199999999</v>
      </c>
      <c r="M183" t="str">
        <f t="shared" si="7"/>
        <v>Low Value Product</v>
      </c>
      <c r="N183" t="str">
        <f t="shared" si="8"/>
        <v>Low Revenue Product</v>
      </c>
    </row>
    <row r="184" spans="1:14" x14ac:dyDescent="0.35">
      <c r="A184" s="19" t="s">
        <v>408</v>
      </c>
      <c r="B184" s="18" t="s">
        <v>370</v>
      </c>
      <c r="C184" s="18" t="s">
        <v>0</v>
      </c>
      <c r="D184" s="7">
        <v>826</v>
      </c>
      <c r="E184" s="18" t="s">
        <v>478</v>
      </c>
      <c r="F184" s="18">
        <v>154</v>
      </c>
      <c r="G184" s="18">
        <v>61101120</v>
      </c>
      <c r="H184" s="18" t="s">
        <v>111</v>
      </c>
      <c r="I184" s="27" t="s">
        <v>21</v>
      </c>
      <c r="J184" s="18">
        <v>2.72</v>
      </c>
      <c r="K184" s="33">
        <v>24.08</v>
      </c>
      <c r="L184" s="31">
        <f t="shared" si="6"/>
        <v>65.497600000000006</v>
      </c>
      <c r="M184" t="str">
        <f t="shared" si="7"/>
        <v>Low Value Product</v>
      </c>
      <c r="N184" t="str">
        <f t="shared" si="8"/>
        <v>Low Revenue Product</v>
      </c>
    </row>
    <row r="185" spans="1:14" x14ac:dyDescent="0.35">
      <c r="A185" s="20" t="s">
        <v>408</v>
      </c>
      <c r="B185" s="21" t="s">
        <v>40</v>
      </c>
      <c r="C185" s="21" t="s">
        <v>41</v>
      </c>
      <c r="D185" s="8">
        <v>642</v>
      </c>
      <c r="E185" s="18" t="s">
        <v>479</v>
      </c>
      <c r="F185" s="21">
        <v>151</v>
      </c>
      <c r="G185" s="21">
        <v>62046110</v>
      </c>
      <c r="H185" s="21" t="s">
        <v>582</v>
      </c>
      <c r="I185" s="28" t="s">
        <v>21</v>
      </c>
      <c r="J185" s="21">
        <v>0.22</v>
      </c>
      <c r="K185" s="34">
        <v>0.26</v>
      </c>
      <c r="L185" s="31">
        <f t="shared" si="6"/>
        <v>5.7200000000000001E-2</v>
      </c>
      <c r="M185" t="str">
        <f t="shared" si="7"/>
        <v>Low Value Product</v>
      </c>
      <c r="N185" t="str">
        <f t="shared" si="8"/>
        <v>Low Revenue Product</v>
      </c>
    </row>
    <row r="186" spans="1:14" x14ac:dyDescent="0.35">
      <c r="A186" s="19" t="s">
        <v>409</v>
      </c>
      <c r="B186" s="18" t="s">
        <v>78</v>
      </c>
      <c r="C186" s="18" t="s">
        <v>79</v>
      </c>
      <c r="D186" s="7">
        <v>208</v>
      </c>
      <c r="E186" s="18" t="s">
        <v>478</v>
      </c>
      <c r="F186" s="18">
        <v>154</v>
      </c>
      <c r="G186" s="18">
        <v>95066210</v>
      </c>
      <c r="H186" s="18" t="s">
        <v>217</v>
      </c>
      <c r="I186" s="27" t="s">
        <v>21</v>
      </c>
      <c r="J186" s="18">
        <v>0.7</v>
      </c>
      <c r="K186" s="33">
        <v>1.1599999999999999</v>
      </c>
      <c r="L186" s="31">
        <f t="shared" si="6"/>
        <v>0.81199999999999994</v>
      </c>
      <c r="M186" t="str">
        <f t="shared" si="7"/>
        <v>Low Value Product</v>
      </c>
      <c r="N186" t="str">
        <f t="shared" si="8"/>
        <v>Low Revenue Product</v>
      </c>
    </row>
    <row r="187" spans="1:14" x14ac:dyDescent="0.35">
      <c r="A187" s="20" t="s">
        <v>409</v>
      </c>
      <c r="B187" s="21" t="s">
        <v>60</v>
      </c>
      <c r="C187" s="21" t="s">
        <v>61</v>
      </c>
      <c r="D187" s="8">
        <v>724</v>
      </c>
      <c r="E187" s="18" t="s">
        <v>477</v>
      </c>
      <c r="F187" s="21">
        <v>39</v>
      </c>
      <c r="G187" s="21">
        <v>29251900</v>
      </c>
      <c r="H187" s="21" t="s">
        <v>583</v>
      </c>
      <c r="I187" s="28" t="s">
        <v>2</v>
      </c>
      <c r="J187" s="21">
        <v>0.2</v>
      </c>
      <c r="K187" s="34">
        <v>2</v>
      </c>
      <c r="L187" s="31">
        <f t="shared" si="6"/>
        <v>0.4</v>
      </c>
      <c r="M187" t="str">
        <f t="shared" si="7"/>
        <v>Low Value Product</v>
      </c>
      <c r="N187" t="str">
        <f t="shared" si="8"/>
        <v>Low Revenue Product</v>
      </c>
    </row>
    <row r="188" spans="1:14" x14ac:dyDescent="0.35">
      <c r="A188" s="19" t="s">
        <v>409</v>
      </c>
      <c r="B188" s="18" t="s">
        <v>180</v>
      </c>
      <c r="C188" s="18" t="s">
        <v>181</v>
      </c>
      <c r="D188" s="7">
        <v>807</v>
      </c>
      <c r="E188" s="18" t="s">
        <v>477</v>
      </c>
      <c r="F188" s="18">
        <v>39</v>
      </c>
      <c r="G188" s="18">
        <v>87019200</v>
      </c>
      <c r="H188" s="18" t="s">
        <v>182</v>
      </c>
      <c r="I188" s="27" t="s">
        <v>21</v>
      </c>
      <c r="J188" s="18">
        <v>0.03</v>
      </c>
      <c r="K188" s="33">
        <v>155.97</v>
      </c>
      <c r="L188" s="31">
        <f t="shared" si="6"/>
        <v>4.6791</v>
      </c>
      <c r="M188" t="str">
        <f t="shared" si="7"/>
        <v>Low Value Product</v>
      </c>
      <c r="N188" t="str">
        <f t="shared" si="8"/>
        <v>Low Revenue Product</v>
      </c>
    </row>
    <row r="189" spans="1:14" x14ac:dyDescent="0.35">
      <c r="A189" s="20" t="s">
        <v>409</v>
      </c>
      <c r="B189" s="21" t="s">
        <v>51</v>
      </c>
      <c r="C189" s="21" t="s">
        <v>52</v>
      </c>
      <c r="D189" s="8">
        <v>616</v>
      </c>
      <c r="E189" s="18" t="s">
        <v>479</v>
      </c>
      <c r="F189" s="21">
        <v>151</v>
      </c>
      <c r="G189" s="21">
        <v>84099911</v>
      </c>
      <c r="H189" s="21" t="s">
        <v>163</v>
      </c>
      <c r="I189" s="28" t="s">
        <v>2</v>
      </c>
      <c r="J189" s="21">
        <v>2.34</v>
      </c>
      <c r="K189" s="34">
        <v>17.309999999999999</v>
      </c>
      <c r="L189" s="31">
        <f t="shared" si="6"/>
        <v>40.505399999999995</v>
      </c>
      <c r="M189" t="str">
        <f t="shared" si="7"/>
        <v>Low Value Product</v>
      </c>
      <c r="N189" t="str">
        <f t="shared" si="8"/>
        <v>Low Revenue Product</v>
      </c>
    </row>
    <row r="190" spans="1:14" x14ac:dyDescent="0.35">
      <c r="A190" s="15" t="s">
        <v>410</v>
      </c>
      <c r="B190" s="16" t="s">
        <v>40</v>
      </c>
      <c r="C190" s="16" t="s">
        <v>41</v>
      </c>
      <c r="D190" s="17">
        <v>642</v>
      </c>
      <c r="E190" s="18" t="s">
        <v>479</v>
      </c>
      <c r="F190" s="16">
        <v>151</v>
      </c>
      <c r="G190" s="16">
        <v>90183920</v>
      </c>
      <c r="H190" s="16" t="s">
        <v>196</v>
      </c>
      <c r="I190" s="27" t="s">
        <v>21</v>
      </c>
      <c r="J190" s="18">
        <v>0</v>
      </c>
      <c r="K190" s="33">
        <v>0.7</v>
      </c>
      <c r="L190" s="31">
        <f t="shared" si="6"/>
        <v>0</v>
      </c>
      <c r="M190" t="str">
        <f t="shared" si="7"/>
        <v>Low Value Product</v>
      </c>
      <c r="N190" t="str">
        <f t="shared" si="8"/>
        <v>Low Revenue Product</v>
      </c>
    </row>
    <row r="191" spans="1:14" x14ac:dyDescent="0.35">
      <c r="A191" s="20" t="s">
        <v>410</v>
      </c>
      <c r="B191" s="21" t="s">
        <v>5</v>
      </c>
      <c r="C191" s="21" t="s">
        <v>6</v>
      </c>
      <c r="D191" s="8">
        <v>756</v>
      </c>
      <c r="E191" s="18" t="s">
        <v>476</v>
      </c>
      <c r="F191" s="21">
        <v>155</v>
      </c>
      <c r="G191" s="21">
        <v>90153090</v>
      </c>
      <c r="H191" s="21" t="s">
        <v>263</v>
      </c>
      <c r="I191" s="28" t="s">
        <v>21</v>
      </c>
      <c r="J191" s="21">
        <v>0</v>
      </c>
      <c r="K191" s="34">
        <v>0.04</v>
      </c>
      <c r="L191" s="31">
        <f t="shared" si="6"/>
        <v>0</v>
      </c>
      <c r="M191" t="str">
        <f t="shared" si="7"/>
        <v>Low Value Product</v>
      </c>
      <c r="N191" t="str">
        <f t="shared" si="8"/>
        <v>Low Revenue Product</v>
      </c>
    </row>
    <row r="192" spans="1:14" x14ac:dyDescent="0.35">
      <c r="A192" s="19" t="s">
        <v>410</v>
      </c>
      <c r="B192" s="18" t="s">
        <v>29</v>
      </c>
      <c r="C192" s="18" t="s">
        <v>30</v>
      </c>
      <c r="D192" s="7">
        <v>191</v>
      </c>
      <c r="E192" s="18" t="s">
        <v>477</v>
      </c>
      <c r="F192" s="18">
        <v>39</v>
      </c>
      <c r="G192" s="18">
        <v>62045100</v>
      </c>
      <c r="H192" s="18" t="s">
        <v>584</v>
      </c>
      <c r="I192" s="27" t="s">
        <v>2</v>
      </c>
      <c r="J192" s="18">
        <v>0</v>
      </c>
      <c r="K192" s="33">
        <v>0.13</v>
      </c>
      <c r="L192" s="31">
        <f t="shared" si="6"/>
        <v>0</v>
      </c>
      <c r="M192" t="str">
        <f t="shared" si="7"/>
        <v>Low Value Product</v>
      </c>
      <c r="N192" t="str">
        <f t="shared" si="8"/>
        <v>Low Revenue Product</v>
      </c>
    </row>
    <row r="193" spans="1:14" x14ac:dyDescent="0.35">
      <c r="A193" s="19" t="s">
        <v>410</v>
      </c>
      <c r="B193" s="18" t="s">
        <v>5</v>
      </c>
      <c r="C193" s="18" t="s">
        <v>6</v>
      </c>
      <c r="D193" s="7">
        <v>756</v>
      </c>
      <c r="E193" s="18" t="s">
        <v>476</v>
      </c>
      <c r="F193" s="18">
        <v>155</v>
      </c>
      <c r="G193" s="18">
        <v>61046300</v>
      </c>
      <c r="H193" s="18" t="s">
        <v>73</v>
      </c>
      <c r="I193" s="28" t="s">
        <v>2</v>
      </c>
      <c r="J193" s="21">
        <v>265.82</v>
      </c>
      <c r="K193" s="34">
        <v>467.6</v>
      </c>
      <c r="L193" s="31">
        <f t="shared" si="6"/>
        <v>124297.432</v>
      </c>
      <c r="M193" t="str">
        <f t="shared" si="7"/>
        <v>Low Value Product</v>
      </c>
      <c r="N193" t="str">
        <f t="shared" si="8"/>
        <v>High Revenue Product</v>
      </c>
    </row>
    <row r="194" spans="1:14" x14ac:dyDescent="0.35">
      <c r="A194" s="19" t="s">
        <v>410</v>
      </c>
      <c r="B194" s="18" t="s">
        <v>22</v>
      </c>
      <c r="C194" s="18" t="s">
        <v>23</v>
      </c>
      <c r="D194" s="7">
        <v>380</v>
      </c>
      <c r="E194" s="18" t="s">
        <v>477</v>
      </c>
      <c r="F194" s="18">
        <v>39</v>
      </c>
      <c r="G194" s="18">
        <v>75072000</v>
      </c>
      <c r="H194" s="18" t="s">
        <v>321</v>
      </c>
      <c r="I194" s="27" t="s">
        <v>21</v>
      </c>
      <c r="J194" s="18">
        <v>0.01</v>
      </c>
      <c r="K194" s="33">
        <v>0.74</v>
      </c>
      <c r="L194" s="31">
        <f t="shared" si="6"/>
        <v>7.4000000000000003E-3</v>
      </c>
      <c r="M194" t="str">
        <f t="shared" si="7"/>
        <v>Low Value Product</v>
      </c>
      <c r="N194" t="str">
        <f t="shared" si="8"/>
        <v>Low Revenue Product</v>
      </c>
    </row>
    <row r="195" spans="1:14" x14ac:dyDescent="0.35">
      <c r="A195" s="20" t="s">
        <v>410</v>
      </c>
      <c r="B195" s="21" t="s">
        <v>55</v>
      </c>
      <c r="C195" s="21" t="s">
        <v>56</v>
      </c>
      <c r="D195" s="8">
        <v>276</v>
      </c>
      <c r="E195" s="18" t="s">
        <v>476</v>
      </c>
      <c r="F195" s="21">
        <v>155</v>
      </c>
      <c r="G195" s="21">
        <v>72230091</v>
      </c>
      <c r="H195" s="21" t="s">
        <v>574</v>
      </c>
      <c r="I195" s="28" t="s">
        <v>21</v>
      </c>
      <c r="J195" s="21">
        <v>0.6</v>
      </c>
      <c r="K195" s="34">
        <v>11.18</v>
      </c>
      <c r="L195" s="31">
        <f t="shared" ref="L195:L258" si="9">J195*K195</f>
        <v>6.7079999999999993</v>
      </c>
      <c r="M195" t="str">
        <f t="shared" ref="M195:M258" si="10">IF(K195&lt;=1000,"Low Value Product",IF(K195&lt;=2000,"Moderate Value Product","High Value Product"))</f>
        <v>Low Value Product</v>
      </c>
      <c r="N195" t="str">
        <f t="shared" ref="N195:N258" si="11">IF(L195&lt;50000,"Low Revenue Product",IF(L195&lt;100000,"Medium Revenue Product","High Revenue Product"))</f>
        <v>Low Revenue Product</v>
      </c>
    </row>
    <row r="196" spans="1:14" x14ac:dyDescent="0.35">
      <c r="A196" s="19" t="s">
        <v>411</v>
      </c>
      <c r="B196" s="18" t="s">
        <v>369</v>
      </c>
      <c r="C196" s="18" t="s">
        <v>3</v>
      </c>
      <c r="D196" s="7">
        <v>528</v>
      </c>
      <c r="E196" s="18" t="s">
        <v>476</v>
      </c>
      <c r="F196" s="18">
        <v>155</v>
      </c>
      <c r="G196" s="18">
        <v>90279010</v>
      </c>
      <c r="H196" s="18" t="s">
        <v>283</v>
      </c>
      <c r="I196" s="27" t="s">
        <v>2</v>
      </c>
      <c r="J196" s="18">
        <v>0.71</v>
      </c>
      <c r="K196" s="33">
        <v>40.94</v>
      </c>
      <c r="L196" s="31">
        <f t="shared" si="9"/>
        <v>29.067399999999996</v>
      </c>
      <c r="M196" t="str">
        <f t="shared" si="10"/>
        <v>Low Value Product</v>
      </c>
      <c r="N196" t="str">
        <f t="shared" si="11"/>
        <v>Low Revenue Product</v>
      </c>
    </row>
    <row r="197" spans="1:14" x14ac:dyDescent="0.35">
      <c r="A197" s="20" t="s">
        <v>411</v>
      </c>
      <c r="B197" s="21" t="s">
        <v>29</v>
      </c>
      <c r="C197" s="21" t="s">
        <v>30</v>
      </c>
      <c r="D197" s="8">
        <v>191</v>
      </c>
      <c r="E197" s="18" t="s">
        <v>477</v>
      </c>
      <c r="F197" s="21">
        <v>39</v>
      </c>
      <c r="G197" s="21">
        <v>84828000</v>
      </c>
      <c r="H197" s="21" t="s">
        <v>484</v>
      </c>
      <c r="I197" s="28" t="s">
        <v>17</v>
      </c>
      <c r="J197" s="21">
        <v>3.53</v>
      </c>
      <c r="K197" s="34">
        <v>4.54</v>
      </c>
      <c r="L197" s="31">
        <f t="shared" si="9"/>
        <v>16.026199999999999</v>
      </c>
      <c r="M197" t="str">
        <f t="shared" si="10"/>
        <v>Low Value Product</v>
      </c>
      <c r="N197" t="str">
        <f t="shared" si="11"/>
        <v>Low Revenue Product</v>
      </c>
    </row>
    <row r="198" spans="1:14" x14ac:dyDescent="0.35">
      <c r="A198" s="19" t="s">
        <v>411</v>
      </c>
      <c r="B198" s="18" t="s">
        <v>55</v>
      </c>
      <c r="C198" s="18" t="s">
        <v>56</v>
      </c>
      <c r="D198" s="7">
        <v>276</v>
      </c>
      <c r="E198" s="18" t="s">
        <v>476</v>
      </c>
      <c r="F198" s="18">
        <v>155</v>
      </c>
      <c r="G198" s="18">
        <v>85169000</v>
      </c>
      <c r="H198" s="18" t="s">
        <v>96</v>
      </c>
      <c r="I198" s="27" t="s">
        <v>2</v>
      </c>
      <c r="J198" s="18">
        <v>0.01</v>
      </c>
      <c r="K198" s="33">
        <v>0.05</v>
      </c>
      <c r="L198" s="31">
        <f t="shared" si="9"/>
        <v>5.0000000000000001E-4</v>
      </c>
      <c r="M198" t="str">
        <f t="shared" si="10"/>
        <v>Low Value Product</v>
      </c>
      <c r="N198" t="str">
        <f t="shared" si="11"/>
        <v>Low Revenue Product</v>
      </c>
    </row>
    <row r="199" spans="1:14" x14ac:dyDescent="0.35">
      <c r="A199" s="20" t="s">
        <v>411</v>
      </c>
      <c r="B199" s="21" t="s">
        <v>14</v>
      </c>
      <c r="C199" s="21" t="s">
        <v>15</v>
      </c>
      <c r="D199" s="8">
        <v>250</v>
      </c>
      <c r="E199" s="18" t="s">
        <v>476</v>
      </c>
      <c r="F199" s="21">
        <v>155</v>
      </c>
      <c r="G199" s="21">
        <v>54075240</v>
      </c>
      <c r="H199" s="21" t="s">
        <v>16</v>
      </c>
      <c r="I199" s="28" t="s">
        <v>21</v>
      </c>
      <c r="J199" s="21">
        <v>0.64</v>
      </c>
      <c r="K199" s="34">
        <v>1.25</v>
      </c>
      <c r="L199" s="31">
        <f t="shared" si="9"/>
        <v>0.8</v>
      </c>
      <c r="M199" t="str">
        <f t="shared" si="10"/>
        <v>Low Value Product</v>
      </c>
      <c r="N199" t="str">
        <f t="shared" si="11"/>
        <v>Low Revenue Product</v>
      </c>
    </row>
    <row r="200" spans="1:14" x14ac:dyDescent="0.35">
      <c r="A200" s="15" t="s">
        <v>412</v>
      </c>
      <c r="B200" s="16" t="s">
        <v>18</v>
      </c>
      <c r="C200" s="16" t="s">
        <v>19</v>
      </c>
      <c r="D200" s="17">
        <v>620</v>
      </c>
      <c r="E200" s="18" t="s">
        <v>477</v>
      </c>
      <c r="F200" s="16">
        <v>39</v>
      </c>
      <c r="G200" s="16">
        <v>42022220</v>
      </c>
      <c r="H200" s="16" t="s">
        <v>171</v>
      </c>
      <c r="I200" s="27" t="s">
        <v>2</v>
      </c>
      <c r="J200" s="18">
        <v>0.8</v>
      </c>
      <c r="K200" s="33">
        <v>5.85</v>
      </c>
      <c r="L200" s="31">
        <f t="shared" si="9"/>
        <v>4.68</v>
      </c>
      <c r="M200" t="str">
        <f t="shared" si="10"/>
        <v>Low Value Product</v>
      </c>
      <c r="N200" t="str">
        <f t="shared" si="11"/>
        <v>Low Revenue Product</v>
      </c>
    </row>
    <row r="201" spans="1:14" x14ac:dyDescent="0.35">
      <c r="A201" s="19" t="s">
        <v>412</v>
      </c>
      <c r="B201" s="18" t="s">
        <v>29</v>
      </c>
      <c r="C201" s="18" t="s">
        <v>30</v>
      </c>
      <c r="D201" s="7">
        <v>191</v>
      </c>
      <c r="E201" s="18" t="s">
        <v>477</v>
      </c>
      <c r="F201" s="18">
        <v>39</v>
      </c>
      <c r="G201" s="18">
        <v>61149090</v>
      </c>
      <c r="H201" s="18" t="s">
        <v>318</v>
      </c>
      <c r="I201" s="28" t="s">
        <v>21</v>
      </c>
      <c r="J201" s="21">
        <v>483.77</v>
      </c>
      <c r="K201" s="34">
        <v>95.28</v>
      </c>
      <c r="L201" s="31">
        <f t="shared" si="9"/>
        <v>46093.605599999995</v>
      </c>
      <c r="M201" t="str">
        <f t="shared" si="10"/>
        <v>Low Value Product</v>
      </c>
      <c r="N201" t="str">
        <f t="shared" si="11"/>
        <v>Low Revenue Product</v>
      </c>
    </row>
    <row r="202" spans="1:14" x14ac:dyDescent="0.35">
      <c r="A202" s="15" t="s">
        <v>413</v>
      </c>
      <c r="B202" s="16" t="s">
        <v>369</v>
      </c>
      <c r="C202" s="16" t="s">
        <v>3</v>
      </c>
      <c r="D202" s="17">
        <v>528</v>
      </c>
      <c r="E202" s="18" t="s">
        <v>476</v>
      </c>
      <c r="F202" s="16">
        <v>155</v>
      </c>
      <c r="G202" s="16">
        <v>84484990</v>
      </c>
      <c r="H202" s="16" t="s">
        <v>504</v>
      </c>
      <c r="I202" s="27" t="s">
        <v>2</v>
      </c>
      <c r="J202" s="18">
        <v>22.69</v>
      </c>
      <c r="K202" s="33">
        <v>304.26</v>
      </c>
      <c r="L202" s="31">
        <f t="shared" si="9"/>
        <v>6903.6594000000005</v>
      </c>
      <c r="M202" t="str">
        <f t="shared" si="10"/>
        <v>Low Value Product</v>
      </c>
      <c r="N202" t="str">
        <f t="shared" si="11"/>
        <v>Low Revenue Product</v>
      </c>
    </row>
    <row r="203" spans="1:14" x14ac:dyDescent="0.35">
      <c r="A203" s="19" t="s">
        <v>413</v>
      </c>
      <c r="B203" s="18" t="s">
        <v>55</v>
      </c>
      <c r="C203" s="18" t="s">
        <v>56</v>
      </c>
      <c r="D203" s="7">
        <v>276</v>
      </c>
      <c r="E203" s="18" t="s">
        <v>476</v>
      </c>
      <c r="F203" s="18">
        <v>155</v>
      </c>
      <c r="G203" s="18">
        <v>84818090</v>
      </c>
      <c r="H203" s="18" t="s">
        <v>10</v>
      </c>
      <c r="I203" s="28" t="s">
        <v>2</v>
      </c>
      <c r="J203" s="21">
        <v>0.8</v>
      </c>
      <c r="K203" s="34">
        <v>9.09</v>
      </c>
      <c r="L203" s="31">
        <f t="shared" si="9"/>
        <v>7.2720000000000002</v>
      </c>
      <c r="M203" t="str">
        <f t="shared" si="10"/>
        <v>Low Value Product</v>
      </c>
      <c r="N203" t="str">
        <f t="shared" si="11"/>
        <v>Low Revenue Product</v>
      </c>
    </row>
    <row r="204" spans="1:14" x14ac:dyDescent="0.35">
      <c r="A204" s="19" t="s">
        <v>414</v>
      </c>
      <c r="B204" s="18" t="s">
        <v>22</v>
      </c>
      <c r="C204" s="18" t="s">
        <v>23</v>
      </c>
      <c r="D204" s="7">
        <v>380</v>
      </c>
      <c r="E204" s="18" t="s">
        <v>477</v>
      </c>
      <c r="F204" s="18">
        <v>39</v>
      </c>
      <c r="G204" s="18">
        <v>81089090</v>
      </c>
      <c r="H204" s="18" t="s">
        <v>329</v>
      </c>
      <c r="I204" s="27" t="s">
        <v>2</v>
      </c>
      <c r="J204" s="18">
        <v>0.04</v>
      </c>
      <c r="K204" s="33">
        <v>10.39</v>
      </c>
      <c r="L204" s="31">
        <f t="shared" si="9"/>
        <v>0.41560000000000002</v>
      </c>
      <c r="M204" t="str">
        <f t="shared" si="10"/>
        <v>Low Value Product</v>
      </c>
      <c r="N204" t="str">
        <f t="shared" si="11"/>
        <v>Low Revenue Product</v>
      </c>
    </row>
    <row r="205" spans="1:14" x14ac:dyDescent="0.35">
      <c r="A205" s="20" t="s">
        <v>414</v>
      </c>
      <c r="B205" s="21" t="s">
        <v>55</v>
      </c>
      <c r="C205" s="21" t="s">
        <v>56</v>
      </c>
      <c r="D205" s="8">
        <v>276</v>
      </c>
      <c r="E205" s="18" t="s">
        <v>476</v>
      </c>
      <c r="F205" s="21">
        <v>155</v>
      </c>
      <c r="G205" s="21">
        <v>64051000</v>
      </c>
      <c r="H205" s="21" t="s">
        <v>485</v>
      </c>
      <c r="I205" s="28" t="s">
        <v>88</v>
      </c>
      <c r="J205" s="21">
        <v>6.43</v>
      </c>
      <c r="K205" s="34">
        <v>85.99</v>
      </c>
      <c r="L205" s="31">
        <f t="shared" si="9"/>
        <v>552.9156999999999</v>
      </c>
      <c r="M205" t="str">
        <f t="shared" si="10"/>
        <v>Low Value Product</v>
      </c>
      <c r="N205" t="str">
        <f t="shared" si="11"/>
        <v>Low Revenue Product</v>
      </c>
    </row>
    <row r="206" spans="1:14" x14ac:dyDescent="0.35">
      <c r="A206" s="19" t="s">
        <v>414</v>
      </c>
      <c r="B206" s="18" t="s">
        <v>55</v>
      </c>
      <c r="C206" s="18" t="s">
        <v>56</v>
      </c>
      <c r="D206" s="7">
        <v>276</v>
      </c>
      <c r="E206" s="18" t="s">
        <v>476</v>
      </c>
      <c r="F206" s="18">
        <v>155</v>
      </c>
      <c r="G206" s="18">
        <v>62079990</v>
      </c>
      <c r="H206" s="18" t="s">
        <v>204</v>
      </c>
      <c r="I206" s="27" t="s">
        <v>21</v>
      </c>
      <c r="J206" s="18">
        <v>0.67</v>
      </c>
      <c r="K206" s="33">
        <v>10</v>
      </c>
      <c r="L206" s="31">
        <f t="shared" si="9"/>
        <v>6.7</v>
      </c>
      <c r="M206" t="str">
        <f t="shared" si="10"/>
        <v>Low Value Product</v>
      </c>
      <c r="N206" t="str">
        <f t="shared" si="11"/>
        <v>Low Revenue Product</v>
      </c>
    </row>
    <row r="207" spans="1:14" x14ac:dyDescent="0.35">
      <c r="A207" s="20" t="s">
        <v>414</v>
      </c>
      <c r="B207" s="21" t="s">
        <v>14</v>
      </c>
      <c r="C207" s="21" t="s">
        <v>15</v>
      </c>
      <c r="D207" s="8">
        <v>250</v>
      </c>
      <c r="E207" s="18" t="s">
        <v>476</v>
      </c>
      <c r="F207" s="21">
        <v>155</v>
      </c>
      <c r="G207" s="21">
        <v>39232100</v>
      </c>
      <c r="H207" s="21" t="s">
        <v>186</v>
      </c>
      <c r="I207" s="28" t="s">
        <v>2</v>
      </c>
      <c r="J207" s="21">
        <v>146.5</v>
      </c>
      <c r="K207" s="34">
        <v>295.94</v>
      </c>
      <c r="L207" s="31">
        <f t="shared" si="9"/>
        <v>43355.21</v>
      </c>
      <c r="M207" t="str">
        <f t="shared" si="10"/>
        <v>Low Value Product</v>
      </c>
      <c r="N207" t="str">
        <f t="shared" si="11"/>
        <v>Low Revenue Product</v>
      </c>
    </row>
    <row r="208" spans="1:14" x14ac:dyDescent="0.35">
      <c r="A208" s="15" t="s">
        <v>415</v>
      </c>
      <c r="B208" s="16" t="s">
        <v>44</v>
      </c>
      <c r="C208" s="16" t="s">
        <v>45</v>
      </c>
      <c r="D208" s="17">
        <v>56</v>
      </c>
      <c r="E208" s="18" t="s">
        <v>476</v>
      </c>
      <c r="F208" s="16">
        <v>155</v>
      </c>
      <c r="G208" s="16">
        <v>62044220</v>
      </c>
      <c r="H208" s="16" t="s">
        <v>302</v>
      </c>
      <c r="I208" s="27" t="s">
        <v>2</v>
      </c>
      <c r="J208" s="18">
        <v>37084</v>
      </c>
      <c r="K208" s="33">
        <v>0.92</v>
      </c>
      <c r="L208" s="31">
        <f t="shared" si="9"/>
        <v>34117.279999999999</v>
      </c>
      <c r="M208" t="str">
        <f t="shared" si="10"/>
        <v>Low Value Product</v>
      </c>
      <c r="N208" t="str">
        <f t="shared" si="11"/>
        <v>Low Revenue Product</v>
      </c>
    </row>
    <row r="209" spans="1:14" x14ac:dyDescent="0.35">
      <c r="A209" s="19" t="s">
        <v>415</v>
      </c>
      <c r="B209" s="18" t="s">
        <v>370</v>
      </c>
      <c r="C209" s="18" t="s">
        <v>0</v>
      </c>
      <c r="D209" s="7">
        <v>826</v>
      </c>
      <c r="E209" s="18" t="s">
        <v>478</v>
      </c>
      <c r="F209" s="18">
        <v>154</v>
      </c>
      <c r="G209" s="18">
        <v>9103020</v>
      </c>
      <c r="H209" s="18" t="s">
        <v>266</v>
      </c>
      <c r="I209" s="28" t="s">
        <v>21</v>
      </c>
      <c r="J209" s="21">
        <v>1</v>
      </c>
      <c r="K209" s="34">
        <v>0.01</v>
      </c>
      <c r="L209" s="31">
        <f t="shared" si="9"/>
        <v>0.01</v>
      </c>
      <c r="M209" t="str">
        <f t="shared" si="10"/>
        <v>Low Value Product</v>
      </c>
      <c r="N209" t="str">
        <f t="shared" si="11"/>
        <v>Low Revenue Product</v>
      </c>
    </row>
    <row r="210" spans="1:14" x14ac:dyDescent="0.35">
      <c r="A210" s="19" t="s">
        <v>415</v>
      </c>
      <c r="B210" s="18" t="s">
        <v>55</v>
      </c>
      <c r="C210" s="18" t="s">
        <v>56</v>
      </c>
      <c r="D210" s="7">
        <v>276</v>
      </c>
      <c r="E210" s="18" t="s">
        <v>476</v>
      </c>
      <c r="F210" s="18">
        <v>155</v>
      </c>
      <c r="G210" s="18">
        <v>68029200</v>
      </c>
      <c r="H210" s="18" t="s">
        <v>93</v>
      </c>
      <c r="I210" s="27" t="s">
        <v>2</v>
      </c>
      <c r="J210" s="18">
        <v>116</v>
      </c>
      <c r="K210" s="33">
        <v>0.01</v>
      </c>
      <c r="L210" s="31">
        <f t="shared" si="9"/>
        <v>1.1599999999999999</v>
      </c>
      <c r="M210" t="str">
        <f t="shared" si="10"/>
        <v>Low Value Product</v>
      </c>
      <c r="N210" t="str">
        <f t="shared" si="11"/>
        <v>Low Revenue Product</v>
      </c>
    </row>
    <row r="211" spans="1:14" x14ac:dyDescent="0.35">
      <c r="A211" s="19" t="s">
        <v>415</v>
      </c>
      <c r="B211" s="18" t="s">
        <v>62</v>
      </c>
      <c r="C211" s="18" t="s">
        <v>63</v>
      </c>
      <c r="D211" s="7">
        <v>752</v>
      </c>
      <c r="E211" s="18" t="s">
        <v>478</v>
      </c>
      <c r="F211" s="18">
        <v>154</v>
      </c>
      <c r="G211" s="18">
        <v>33019090</v>
      </c>
      <c r="H211" s="18" t="s">
        <v>486</v>
      </c>
      <c r="I211" s="28" t="s">
        <v>21</v>
      </c>
      <c r="J211" s="21">
        <v>17</v>
      </c>
      <c r="K211" s="34">
        <v>0.02</v>
      </c>
      <c r="L211" s="31">
        <f t="shared" si="9"/>
        <v>0.34</v>
      </c>
      <c r="M211" t="str">
        <f t="shared" si="10"/>
        <v>Low Value Product</v>
      </c>
      <c r="N211" t="str">
        <f t="shared" si="11"/>
        <v>Low Revenue Product</v>
      </c>
    </row>
    <row r="212" spans="1:14" x14ac:dyDescent="0.35">
      <c r="A212" s="15" t="s">
        <v>415</v>
      </c>
      <c r="B212" s="16" t="s">
        <v>78</v>
      </c>
      <c r="C212" s="16" t="s">
        <v>79</v>
      </c>
      <c r="D212" s="17">
        <v>208</v>
      </c>
      <c r="E212" s="18" t="s">
        <v>478</v>
      </c>
      <c r="F212" s="16">
        <v>154</v>
      </c>
      <c r="G212" s="16">
        <v>85272900</v>
      </c>
      <c r="H212" s="16" t="s">
        <v>505</v>
      </c>
      <c r="I212" s="27" t="s">
        <v>2</v>
      </c>
      <c r="J212" s="18">
        <v>3710</v>
      </c>
      <c r="K212" s="33">
        <v>0.01</v>
      </c>
      <c r="L212" s="31">
        <f t="shared" si="9"/>
        <v>37.1</v>
      </c>
      <c r="M212" t="str">
        <f t="shared" si="10"/>
        <v>Low Value Product</v>
      </c>
      <c r="N212" t="str">
        <f t="shared" si="11"/>
        <v>Low Revenue Product</v>
      </c>
    </row>
    <row r="213" spans="1:14" x14ac:dyDescent="0.35">
      <c r="A213" s="20" t="s">
        <v>416</v>
      </c>
      <c r="B213" s="21" t="s">
        <v>11</v>
      </c>
      <c r="C213" s="21" t="s">
        <v>12</v>
      </c>
      <c r="D213" s="8">
        <v>643</v>
      </c>
      <c r="E213" s="18" t="s">
        <v>479</v>
      </c>
      <c r="F213" s="21">
        <v>151</v>
      </c>
      <c r="G213" s="21">
        <v>40103290</v>
      </c>
      <c r="H213" s="21" t="s">
        <v>90</v>
      </c>
      <c r="I213" s="28" t="s">
        <v>2</v>
      </c>
      <c r="J213" s="21">
        <v>4273</v>
      </c>
      <c r="K213" s="34">
        <v>0.26</v>
      </c>
      <c r="L213" s="31">
        <f t="shared" si="9"/>
        <v>1110.98</v>
      </c>
      <c r="M213" t="str">
        <f t="shared" si="10"/>
        <v>Low Value Product</v>
      </c>
      <c r="N213" t="str">
        <f t="shared" si="11"/>
        <v>Low Revenue Product</v>
      </c>
    </row>
    <row r="214" spans="1:14" x14ac:dyDescent="0.35">
      <c r="A214" s="15" t="s">
        <v>416</v>
      </c>
      <c r="B214" s="16" t="s">
        <v>25</v>
      </c>
      <c r="C214" s="16" t="s">
        <v>26</v>
      </c>
      <c r="D214" s="17">
        <v>688</v>
      </c>
      <c r="E214" s="18" t="s">
        <v>477</v>
      </c>
      <c r="F214" s="16">
        <v>39</v>
      </c>
      <c r="G214" s="16">
        <v>29054300</v>
      </c>
      <c r="H214" s="16" t="s">
        <v>185</v>
      </c>
      <c r="I214" s="27" t="s">
        <v>2</v>
      </c>
      <c r="J214" s="18">
        <v>10</v>
      </c>
      <c r="K214" s="33">
        <v>0.01</v>
      </c>
      <c r="L214" s="31">
        <f t="shared" si="9"/>
        <v>0.1</v>
      </c>
      <c r="M214" t="str">
        <f t="shared" si="10"/>
        <v>Low Value Product</v>
      </c>
      <c r="N214" t="str">
        <f t="shared" si="11"/>
        <v>Low Revenue Product</v>
      </c>
    </row>
    <row r="215" spans="1:14" x14ac:dyDescent="0.35">
      <c r="A215" s="19" t="s">
        <v>416</v>
      </c>
      <c r="B215" s="18" t="s">
        <v>130</v>
      </c>
      <c r="C215" s="18" t="s">
        <v>131</v>
      </c>
      <c r="D215" s="7">
        <v>233</v>
      </c>
      <c r="E215" s="18" t="s">
        <v>478</v>
      </c>
      <c r="F215" s="18">
        <v>154</v>
      </c>
      <c r="G215" s="18">
        <v>73181900</v>
      </c>
      <c r="H215" s="18" t="s">
        <v>195</v>
      </c>
      <c r="I215" s="28" t="s">
        <v>2</v>
      </c>
      <c r="J215" s="21">
        <v>42</v>
      </c>
      <c r="K215" s="34">
        <v>0.01</v>
      </c>
      <c r="L215" s="31">
        <f t="shared" si="9"/>
        <v>0.42</v>
      </c>
      <c r="M215" t="str">
        <f t="shared" si="10"/>
        <v>Low Value Product</v>
      </c>
      <c r="N215" t="str">
        <f t="shared" si="11"/>
        <v>Low Revenue Product</v>
      </c>
    </row>
    <row r="216" spans="1:14" x14ac:dyDescent="0.35">
      <c r="A216" s="15" t="s">
        <v>416</v>
      </c>
      <c r="B216" s="16" t="s">
        <v>75</v>
      </c>
      <c r="C216" s="16" t="s">
        <v>76</v>
      </c>
      <c r="D216" s="17">
        <v>578</v>
      </c>
      <c r="E216" s="18" t="s">
        <v>478</v>
      </c>
      <c r="F216" s="16">
        <v>154</v>
      </c>
      <c r="G216" s="16">
        <v>44199090</v>
      </c>
      <c r="H216" s="16" t="s">
        <v>10</v>
      </c>
      <c r="I216" s="27" t="s">
        <v>2</v>
      </c>
      <c r="J216" s="18">
        <v>18094</v>
      </c>
      <c r="K216" s="33">
        <v>1.51</v>
      </c>
      <c r="L216" s="31">
        <f t="shared" si="9"/>
        <v>27321.94</v>
      </c>
      <c r="M216" t="str">
        <f t="shared" si="10"/>
        <v>Low Value Product</v>
      </c>
      <c r="N216" t="str">
        <f t="shared" si="11"/>
        <v>Low Revenue Product</v>
      </c>
    </row>
    <row r="217" spans="1:14" x14ac:dyDescent="0.35">
      <c r="A217" s="19" t="s">
        <v>416</v>
      </c>
      <c r="B217" s="18" t="s">
        <v>22</v>
      </c>
      <c r="C217" s="18" t="s">
        <v>23</v>
      </c>
      <c r="D217" s="7">
        <v>380</v>
      </c>
      <c r="E217" s="18" t="s">
        <v>477</v>
      </c>
      <c r="F217" s="18">
        <v>39</v>
      </c>
      <c r="G217" s="18">
        <v>84389090</v>
      </c>
      <c r="H217" s="18" t="s">
        <v>487</v>
      </c>
      <c r="I217" s="28" t="s">
        <v>2</v>
      </c>
      <c r="J217" s="21">
        <v>1</v>
      </c>
      <c r="K217" s="34">
        <v>0</v>
      </c>
      <c r="L217" s="31">
        <f t="shared" si="9"/>
        <v>0</v>
      </c>
      <c r="M217" t="str">
        <f t="shared" si="10"/>
        <v>Low Value Product</v>
      </c>
      <c r="N217" t="str">
        <f t="shared" si="11"/>
        <v>Low Revenue Product</v>
      </c>
    </row>
    <row r="218" spans="1:14" x14ac:dyDescent="0.35">
      <c r="A218" s="19" t="s">
        <v>416</v>
      </c>
      <c r="B218" s="18" t="s">
        <v>22</v>
      </c>
      <c r="C218" s="18" t="s">
        <v>23</v>
      </c>
      <c r="D218" s="7">
        <v>380</v>
      </c>
      <c r="E218" s="18" t="s">
        <v>477</v>
      </c>
      <c r="F218" s="18">
        <v>39</v>
      </c>
      <c r="G218" s="18">
        <v>29362800</v>
      </c>
      <c r="H218" s="18" t="s">
        <v>24</v>
      </c>
      <c r="I218" s="27" t="s">
        <v>2</v>
      </c>
      <c r="J218" s="18">
        <v>892</v>
      </c>
      <c r="K218" s="33">
        <v>0.06</v>
      </c>
      <c r="L218" s="31">
        <f t="shared" si="9"/>
        <v>53.519999999999996</v>
      </c>
      <c r="M218" t="str">
        <f t="shared" si="10"/>
        <v>Low Value Product</v>
      </c>
      <c r="N218" t="str">
        <f t="shared" si="11"/>
        <v>Low Revenue Product</v>
      </c>
    </row>
    <row r="219" spans="1:14" x14ac:dyDescent="0.35">
      <c r="A219" s="20" t="s">
        <v>417</v>
      </c>
      <c r="B219" s="21" t="s">
        <v>60</v>
      </c>
      <c r="C219" s="21" t="s">
        <v>61</v>
      </c>
      <c r="D219" s="8">
        <v>724</v>
      </c>
      <c r="E219" s="18" t="s">
        <v>477</v>
      </c>
      <c r="F219" s="21">
        <v>39</v>
      </c>
      <c r="G219" s="21">
        <v>2023000</v>
      </c>
      <c r="H219" s="21" t="s">
        <v>254</v>
      </c>
      <c r="I219" s="28" t="s">
        <v>21</v>
      </c>
      <c r="J219" s="21">
        <v>0.01</v>
      </c>
      <c r="K219" s="34">
        <v>0.4</v>
      </c>
      <c r="L219" s="31">
        <f t="shared" si="9"/>
        <v>4.0000000000000001E-3</v>
      </c>
      <c r="M219" t="str">
        <f t="shared" si="10"/>
        <v>Low Value Product</v>
      </c>
      <c r="N219" t="str">
        <f t="shared" si="11"/>
        <v>Low Revenue Product</v>
      </c>
    </row>
    <row r="220" spans="1:14" x14ac:dyDescent="0.35">
      <c r="A220" s="15" t="s">
        <v>417</v>
      </c>
      <c r="B220" s="16" t="s">
        <v>369</v>
      </c>
      <c r="C220" s="16" t="s">
        <v>3</v>
      </c>
      <c r="D220" s="17">
        <v>528</v>
      </c>
      <c r="E220" s="18" t="s">
        <v>476</v>
      </c>
      <c r="F220" s="16">
        <v>155</v>
      </c>
      <c r="G220" s="16">
        <v>21022000</v>
      </c>
      <c r="H220" s="16" t="s">
        <v>513</v>
      </c>
      <c r="I220" s="27" t="s">
        <v>21</v>
      </c>
      <c r="J220" s="18">
        <v>0.6</v>
      </c>
      <c r="K220" s="33">
        <v>1.38</v>
      </c>
      <c r="L220" s="31">
        <f t="shared" si="9"/>
        <v>0.82799999999999996</v>
      </c>
      <c r="M220" t="str">
        <f t="shared" si="10"/>
        <v>Low Value Product</v>
      </c>
      <c r="N220" t="str">
        <f t="shared" si="11"/>
        <v>Low Revenue Product</v>
      </c>
    </row>
    <row r="221" spans="1:14" x14ac:dyDescent="0.35">
      <c r="A221" s="19" t="s">
        <v>417</v>
      </c>
      <c r="B221" s="18" t="s">
        <v>18</v>
      </c>
      <c r="C221" s="18" t="s">
        <v>19</v>
      </c>
      <c r="D221" s="7">
        <v>620</v>
      </c>
      <c r="E221" s="18" t="s">
        <v>477</v>
      </c>
      <c r="F221" s="18">
        <v>39</v>
      </c>
      <c r="G221" s="18">
        <v>95030090</v>
      </c>
      <c r="H221" s="18" t="s">
        <v>10</v>
      </c>
      <c r="I221" s="28" t="s">
        <v>2</v>
      </c>
      <c r="J221" s="21">
        <v>0.01</v>
      </c>
      <c r="K221" s="34">
        <v>0.05</v>
      </c>
      <c r="L221" s="31">
        <f t="shared" si="9"/>
        <v>5.0000000000000001E-4</v>
      </c>
      <c r="M221" t="str">
        <f t="shared" si="10"/>
        <v>Low Value Product</v>
      </c>
      <c r="N221" t="str">
        <f t="shared" si="11"/>
        <v>Low Revenue Product</v>
      </c>
    </row>
    <row r="222" spans="1:14" x14ac:dyDescent="0.35">
      <c r="A222" s="19" t="s">
        <v>417</v>
      </c>
      <c r="B222" s="18" t="s">
        <v>22</v>
      </c>
      <c r="C222" s="18" t="s">
        <v>23</v>
      </c>
      <c r="D222" s="7">
        <v>380</v>
      </c>
      <c r="E222" s="18" t="s">
        <v>477</v>
      </c>
      <c r="F222" s="18">
        <v>39</v>
      </c>
      <c r="G222" s="18">
        <v>42023190</v>
      </c>
      <c r="H222" s="18" t="s">
        <v>10</v>
      </c>
      <c r="I222" s="27" t="s">
        <v>21</v>
      </c>
      <c r="J222" s="18">
        <v>35.81</v>
      </c>
      <c r="K222" s="33">
        <v>112.31</v>
      </c>
      <c r="L222" s="31">
        <f t="shared" si="9"/>
        <v>4021.8211000000001</v>
      </c>
      <c r="M222" t="str">
        <f t="shared" si="10"/>
        <v>Low Value Product</v>
      </c>
      <c r="N222" t="str">
        <f t="shared" si="11"/>
        <v>Low Revenue Product</v>
      </c>
    </row>
    <row r="223" spans="1:14" x14ac:dyDescent="0.35">
      <c r="A223" s="20" t="s">
        <v>417</v>
      </c>
      <c r="B223" s="21" t="s">
        <v>125</v>
      </c>
      <c r="C223" s="21" t="s">
        <v>126</v>
      </c>
      <c r="D223" s="8">
        <v>372</v>
      </c>
      <c r="E223" s="18" t="s">
        <v>478</v>
      </c>
      <c r="F223" s="21">
        <v>154</v>
      </c>
      <c r="G223" s="21">
        <v>42021120</v>
      </c>
      <c r="H223" s="21" t="s">
        <v>138</v>
      </c>
      <c r="I223" s="28" t="s">
        <v>2</v>
      </c>
      <c r="J223" s="21">
        <v>0.15</v>
      </c>
      <c r="K223" s="34">
        <v>0.98</v>
      </c>
      <c r="L223" s="31">
        <f t="shared" si="9"/>
        <v>0.14699999999999999</v>
      </c>
      <c r="M223" t="str">
        <f t="shared" si="10"/>
        <v>Low Value Product</v>
      </c>
      <c r="N223" t="str">
        <f t="shared" si="11"/>
        <v>Low Revenue Product</v>
      </c>
    </row>
    <row r="224" spans="1:14" x14ac:dyDescent="0.35">
      <c r="A224" s="19" t="s">
        <v>417</v>
      </c>
      <c r="B224" s="18" t="s">
        <v>78</v>
      </c>
      <c r="C224" s="18" t="s">
        <v>79</v>
      </c>
      <c r="D224" s="7">
        <v>208</v>
      </c>
      <c r="E224" s="18" t="s">
        <v>478</v>
      </c>
      <c r="F224" s="18">
        <v>154</v>
      </c>
      <c r="G224" s="18">
        <v>61046990</v>
      </c>
      <c r="H224" s="18" t="s">
        <v>117</v>
      </c>
      <c r="I224" s="27" t="s">
        <v>21</v>
      </c>
      <c r="J224" s="18">
        <v>61.05</v>
      </c>
      <c r="K224" s="33">
        <v>222.81</v>
      </c>
      <c r="L224" s="31">
        <f t="shared" si="9"/>
        <v>13602.550499999999</v>
      </c>
      <c r="M224" t="str">
        <f t="shared" si="10"/>
        <v>Low Value Product</v>
      </c>
      <c r="N224" t="str">
        <f t="shared" si="11"/>
        <v>Low Revenue Product</v>
      </c>
    </row>
    <row r="225" spans="1:14" x14ac:dyDescent="0.35">
      <c r="A225" s="20" t="s">
        <v>418</v>
      </c>
      <c r="B225" s="21" t="s">
        <v>201</v>
      </c>
      <c r="C225" s="21" t="s">
        <v>202</v>
      </c>
      <c r="D225" s="8">
        <v>499</v>
      </c>
      <c r="E225" s="18" t="s">
        <v>477</v>
      </c>
      <c r="F225" s="21">
        <v>39</v>
      </c>
      <c r="G225" s="21">
        <v>10064000</v>
      </c>
      <c r="H225" s="21" t="s">
        <v>203</v>
      </c>
      <c r="I225" s="28" t="s">
        <v>2</v>
      </c>
      <c r="J225" s="21">
        <v>50</v>
      </c>
      <c r="K225" s="34">
        <v>12.09</v>
      </c>
      <c r="L225" s="31">
        <f t="shared" si="9"/>
        <v>604.5</v>
      </c>
      <c r="M225" t="str">
        <f t="shared" si="10"/>
        <v>Low Value Product</v>
      </c>
      <c r="N225" t="str">
        <f t="shared" si="11"/>
        <v>Low Revenue Product</v>
      </c>
    </row>
    <row r="226" spans="1:14" x14ac:dyDescent="0.35">
      <c r="A226" s="15" t="s">
        <v>418</v>
      </c>
      <c r="B226" s="16" t="s">
        <v>62</v>
      </c>
      <c r="C226" s="16" t="s">
        <v>63</v>
      </c>
      <c r="D226" s="17">
        <v>752</v>
      </c>
      <c r="E226" s="18" t="s">
        <v>478</v>
      </c>
      <c r="F226" s="16">
        <v>154</v>
      </c>
      <c r="G226" s="16">
        <v>85437099</v>
      </c>
      <c r="H226" s="16" t="s">
        <v>10</v>
      </c>
      <c r="I226" s="27" t="s">
        <v>2</v>
      </c>
      <c r="J226" s="18">
        <v>26.45</v>
      </c>
      <c r="K226" s="33">
        <v>115.83</v>
      </c>
      <c r="L226" s="31">
        <f t="shared" si="9"/>
        <v>3063.7035000000001</v>
      </c>
      <c r="M226" t="str">
        <f t="shared" si="10"/>
        <v>Low Value Product</v>
      </c>
      <c r="N226" t="str">
        <f t="shared" si="11"/>
        <v>Low Revenue Product</v>
      </c>
    </row>
    <row r="227" spans="1:14" x14ac:dyDescent="0.35">
      <c r="A227" s="19" t="s">
        <v>418</v>
      </c>
      <c r="B227" s="18" t="s">
        <v>370</v>
      </c>
      <c r="C227" s="18" t="s">
        <v>0</v>
      </c>
      <c r="D227" s="7">
        <v>826</v>
      </c>
      <c r="E227" s="18" t="s">
        <v>478</v>
      </c>
      <c r="F227" s="18">
        <v>154</v>
      </c>
      <c r="G227" s="18">
        <v>58063990</v>
      </c>
      <c r="H227" s="18" t="s">
        <v>10</v>
      </c>
      <c r="I227" s="28" t="s">
        <v>21</v>
      </c>
      <c r="J227" s="21">
        <v>0</v>
      </c>
      <c r="K227" s="34">
        <v>0.05</v>
      </c>
      <c r="L227" s="31">
        <f t="shared" si="9"/>
        <v>0</v>
      </c>
      <c r="M227" t="str">
        <f t="shared" si="10"/>
        <v>Low Value Product</v>
      </c>
      <c r="N227" t="str">
        <f t="shared" si="11"/>
        <v>Low Revenue Product</v>
      </c>
    </row>
    <row r="228" spans="1:14" x14ac:dyDescent="0.35">
      <c r="A228" s="19" t="s">
        <v>418</v>
      </c>
      <c r="B228" s="18" t="s">
        <v>370</v>
      </c>
      <c r="C228" s="18" t="s">
        <v>0</v>
      </c>
      <c r="D228" s="7">
        <v>826</v>
      </c>
      <c r="E228" s="18" t="s">
        <v>478</v>
      </c>
      <c r="F228" s="18">
        <v>154</v>
      </c>
      <c r="G228" s="18">
        <v>73261990</v>
      </c>
      <c r="H228" s="18" t="s">
        <v>197</v>
      </c>
      <c r="I228" s="27" t="s">
        <v>2</v>
      </c>
      <c r="J228" s="18">
        <v>0</v>
      </c>
      <c r="K228" s="33">
        <v>0.01</v>
      </c>
      <c r="L228" s="31">
        <f t="shared" si="9"/>
        <v>0</v>
      </c>
      <c r="M228" t="str">
        <f t="shared" si="10"/>
        <v>Low Value Product</v>
      </c>
      <c r="N228" t="str">
        <f t="shared" si="11"/>
        <v>Low Revenue Product</v>
      </c>
    </row>
    <row r="229" spans="1:14" x14ac:dyDescent="0.35">
      <c r="A229" s="20" t="s">
        <v>419</v>
      </c>
      <c r="B229" s="21" t="s">
        <v>370</v>
      </c>
      <c r="C229" s="21" t="s">
        <v>0</v>
      </c>
      <c r="D229" s="8">
        <v>826</v>
      </c>
      <c r="E229" s="18" t="s">
        <v>478</v>
      </c>
      <c r="F229" s="21">
        <v>154</v>
      </c>
      <c r="G229" s="21">
        <v>29321990</v>
      </c>
      <c r="H229" s="21" t="s">
        <v>265</v>
      </c>
      <c r="I229" s="28" t="s">
        <v>2</v>
      </c>
      <c r="J229" s="21">
        <v>0.98</v>
      </c>
      <c r="K229" s="34">
        <v>10.8</v>
      </c>
      <c r="L229" s="31">
        <f t="shared" si="9"/>
        <v>10.584</v>
      </c>
      <c r="M229" t="str">
        <f t="shared" si="10"/>
        <v>Low Value Product</v>
      </c>
      <c r="N229" t="str">
        <f t="shared" si="11"/>
        <v>Low Revenue Product</v>
      </c>
    </row>
    <row r="230" spans="1:14" x14ac:dyDescent="0.35">
      <c r="A230" s="19" t="s">
        <v>419</v>
      </c>
      <c r="B230" s="18" t="s">
        <v>369</v>
      </c>
      <c r="C230" s="18" t="s">
        <v>3</v>
      </c>
      <c r="D230" s="7">
        <v>528</v>
      </c>
      <c r="E230" s="18" t="s">
        <v>476</v>
      </c>
      <c r="F230" s="18">
        <v>155</v>
      </c>
      <c r="G230" s="18">
        <v>95069990</v>
      </c>
      <c r="H230" s="18" t="s">
        <v>215</v>
      </c>
      <c r="I230" s="27" t="s">
        <v>2</v>
      </c>
      <c r="J230" s="18">
        <v>0.12</v>
      </c>
      <c r="K230" s="33">
        <v>0.75</v>
      </c>
      <c r="L230" s="31">
        <f t="shared" si="9"/>
        <v>0.09</v>
      </c>
      <c r="M230" t="str">
        <f t="shared" si="10"/>
        <v>Low Value Product</v>
      </c>
      <c r="N230" t="str">
        <f t="shared" si="11"/>
        <v>Low Revenue Product</v>
      </c>
    </row>
    <row r="231" spans="1:14" x14ac:dyDescent="0.35">
      <c r="A231" s="20" t="s">
        <v>419</v>
      </c>
      <c r="B231" s="21" t="s">
        <v>62</v>
      </c>
      <c r="C231" s="21" t="s">
        <v>63</v>
      </c>
      <c r="D231" s="8">
        <v>752</v>
      </c>
      <c r="E231" s="18" t="s">
        <v>478</v>
      </c>
      <c r="F231" s="21">
        <v>154</v>
      </c>
      <c r="G231" s="21">
        <v>52083290</v>
      </c>
      <c r="H231" s="21" t="s">
        <v>10</v>
      </c>
      <c r="I231" s="28" t="s">
        <v>17</v>
      </c>
      <c r="J231" s="21">
        <v>0.61</v>
      </c>
      <c r="K231" s="34">
        <v>0.87</v>
      </c>
      <c r="L231" s="31">
        <f t="shared" si="9"/>
        <v>0.53069999999999995</v>
      </c>
      <c r="M231" t="str">
        <f t="shared" si="10"/>
        <v>Low Value Product</v>
      </c>
      <c r="N231" t="str">
        <f t="shared" si="11"/>
        <v>Low Revenue Product</v>
      </c>
    </row>
    <row r="232" spans="1:14" x14ac:dyDescent="0.35">
      <c r="A232" s="19" t="s">
        <v>419</v>
      </c>
      <c r="B232" s="18" t="s">
        <v>134</v>
      </c>
      <c r="C232" s="18" t="s">
        <v>135</v>
      </c>
      <c r="D232" s="7">
        <v>300</v>
      </c>
      <c r="E232" s="18" t="s">
        <v>477</v>
      </c>
      <c r="F232" s="18">
        <v>39</v>
      </c>
      <c r="G232" s="18">
        <v>84159000</v>
      </c>
      <c r="H232" s="18" t="s">
        <v>162</v>
      </c>
      <c r="I232" s="27" t="s">
        <v>21</v>
      </c>
      <c r="J232" s="18">
        <v>60.02</v>
      </c>
      <c r="K232" s="33">
        <v>75.760000000000005</v>
      </c>
      <c r="L232" s="31">
        <f t="shared" si="9"/>
        <v>4547.1152000000002</v>
      </c>
      <c r="M232" t="str">
        <f t="shared" si="10"/>
        <v>Low Value Product</v>
      </c>
      <c r="N232" t="str">
        <f t="shared" si="11"/>
        <v>Low Revenue Product</v>
      </c>
    </row>
    <row r="233" spans="1:14" x14ac:dyDescent="0.35">
      <c r="A233" s="20" t="s">
        <v>419</v>
      </c>
      <c r="B233" s="21" t="s">
        <v>60</v>
      </c>
      <c r="C233" s="21" t="s">
        <v>61</v>
      </c>
      <c r="D233" s="8">
        <v>724</v>
      </c>
      <c r="E233" s="18" t="s">
        <v>477</v>
      </c>
      <c r="F233" s="21">
        <v>39</v>
      </c>
      <c r="G233" s="21">
        <v>32064100</v>
      </c>
      <c r="H233" s="21" t="s">
        <v>70</v>
      </c>
      <c r="I233" s="28" t="s">
        <v>2</v>
      </c>
      <c r="J233" s="21">
        <v>144.03</v>
      </c>
      <c r="K233" s="34">
        <v>113.34</v>
      </c>
      <c r="L233" s="31">
        <f t="shared" si="9"/>
        <v>16324.360200000001</v>
      </c>
      <c r="M233" t="str">
        <f t="shared" si="10"/>
        <v>Low Value Product</v>
      </c>
      <c r="N233" t="str">
        <f t="shared" si="11"/>
        <v>Low Revenue Product</v>
      </c>
    </row>
    <row r="234" spans="1:14" x14ac:dyDescent="0.35">
      <c r="A234" s="19" t="s">
        <v>420</v>
      </c>
      <c r="B234" s="18" t="s">
        <v>146</v>
      </c>
      <c r="C234" s="18" t="s">
        <v>147</v>
      </c>
      <c r="D234" s="7">
        <v>70</v>
      </c>
      <c r="E234" s="18" t="s">
        <v>477</v>
      </c>
      <c r="F234" s="18">
        <v>39</v>
      </c>
      <c r="G234" s="18">
        <v>25161100</v>
      </c>
      <c r="H234" s="18" t="s">
        <v>238</v>
      </c>
      <c r="I234" s="27" t="s">
        <v>2</v>
      </c>
      <c r="J234" s="18">
        <v>0.92</v>
      </c>
      <c r="K234" s="33">
        <v>18.87</v>
      </c>
      <c r="L234" s="31">
        <f t="shared" si="9"/>
        <v>17.360400000000002</v>
      </c>
      <c r="M234" t="str">
        <f t="shared" si="10"/>
        <v>Low Value Product</v>
      </c>
      <c r="N234" t="str">
        <f t="shared" si="11"/>
        <v>Low Revenue Product</v>
      </c>
    </row>
    <row r="235" spans="1:14" x14ac:dyDescent="0.35">
      <c r="A235" s="20" t="s">
        <v>420</v>
      </c>
      <c r="B235" s="21" t="s">
        <v>14</v>
      </c>
      <c r="C235" s="21" t="s">
        <v>15</v>
      </c>
      <c r="D235" s="8">
        <v>250</v>
      </c>
      <c r="E235" s="18" t="s">
        <v>476</v>
      </c>
      <c r="F235" s="21">
        <v>155</v>
      </c>
      <c r="G235" s="21">
        <v>64061020</v>
      </c>
      <c r="H235" s="21" t="s">
        <v>103</v>
      </c>
      <c r="I235" s="28" t="s">
        <v>21</v>
      </c>
      <c r="J235" s="21">
        <v>0</v>
      </c>
      <c r="K235" s="34">
        <v>2.41</v>
      </c>
      <c r="L235" s="31">
        <f t="shared" si="9"/>
        <v>0</v>
      </c>
      <c r="M235" t="str">
        <f t="shared" si="10"/>
        <v>Low Value Product</v>
      </c>
      <c r="N235" t="str">
        <f t="shared" si="11"/>
        <v>Low Revenue Product</v>
      </c>
    </row>
    <row r="236" spans="1:14" x14ac:dyDescent="0.35">
      <c r="A236" s="15" t="s">
        <v>420</v>
      </c>
      <c r="B236" s="16" t="s">
        <v>22</v>
      </c>
      <c r="C236" s="16" t="s">
        <v>23</v>
      </c>
      <c r="D236" s="17">
        <v>380</v>
      </c>
      <c r="E236" s="18" t="s">
        <v>477</v>
      </c>
      <c r="F236" s="16">
        <v>39</v>
      </c>
      <c r="G236" s="16">
        <v>87112029</v>
      </c>
      <c r="H236" s="16" t="s">
        <v>285</v>
      </c>
      <c r="I236" s="27" t="s">
        <v>2</v>
      </c>
      <c r="J236" s="18">
        <v>257.69</v>
      </c>
      <c r="K236" s="33">
        <v>33.159999999999997</v>
      </c>
      <c r="L236" s="31">
        <f t="shared" si="9"/>
        <v>8545.000399999999</v>
      </c>
      <c r="M236" t="str">
        <f t="shared" si="10"/>
        <v>Low Value Product</v>
      </c>
      <c r="N236" t="str">
        <f t="shared" si="11"/>
        <v>Low Revenue Product</v>
      </c>
    </row>
    <row r="237" spans="1:14" x14ac:dyDescent="0.35">
      <c r="A237" s="19" t="s">
        <v>420</v>
      </c>
      <c r="B237" s="18" t="s">
        <v>51</v>
      </c>
      <c r="C237" s="18" t="s">
        <v>52</v>
      </c>
      <c r="D237" s="7">
        <v>616</v>
      </c>
      <c r="E237" s="18" t="s">
        <v>479</v>
      </c>
      <c r="F237" s="18">
        <v>151</v>
      </c>
      <c r="G237" s="18">
        <v>38210000</v>
      </c>
      <c r="H237" s="18" t="s">
        <v>235</v>
      </c>
      <c r="I237" s="28" t="s">
        <v>2</v>
      </c>
      <c r="J237" s="21">
        <v>39.35</v>
      </c>
      <c r="K237" s="34">
        <v>1102.5999999999999</v>
      </c>
      <c r="L237" s="31">
        <f t="shared" si="9"/>
        <v>43387.31</v>
      </c>
      <c r="M237" t="str">
        <f t="shared" si="10"/>
        <v>Moderate Value Product</v>
      </c>
      <c r="N237" t="str">
        <f t="shared" si="11"/>
        <v>Low Revenue Product</v>
      </c>
    </row>
    <row r="238" spans="1:14" x14ac:dyDescent="0.35">
      <c r="A238" s="19" t="s">
        <v>420</v>
      </c>
      <c r="B238" s="18" t="s">
        <v>51</v>
      </c>
      <c r="C238" s="18" t="s">
        <v>52</v>
      </c>
      <c r="D238" s="7">
        <v>616</v>
      </c>
      <c r="E238" s="18" t="s">
        <v>479</v>
      </c>
      <c r="F238" s="18">
        <v>151</v>
      </c>
      <c r="G238" s="18">
        <v>87089400</v>
      </c>
      <c r="H238" s="18" t="s">
        <v>179</v>
      </c>
      <c r="I238" s="27" t="s">
        <v>2</v>
      </c>
      <c r="J238" s="18">
        <v>53.18</v>
      </c>
      <c r="K238" s="33">
        <v>301.74</v>
      </c>
      <c r="L238" s="31">
        <f t="shared" si="9"/>
        <v>16046.5332</v>
      </c>
      <c r="M238" t="str">
        <f t="shared" si="10"/>
        <v>Low Value Product</v>
      </c>
      <c r="N238" t="str">
        <f t="shared" si="11"/>
        <v>Low Revenue Product</v>
      </c>
    </row>
    <row r="239" spans="1:14" x14ac:dyDescent="0.35">
      <c r="A239" s="20" t="s">
        <v>421</v>
      </c>
      <c r="B239" s="21" t="s">
        <v>370</v>
      </c>
      <c r="C239" s="21" t="s">
        <v>0</v>
      </c>
      <c r="D239" s="8">
        <v>826</v>
      </c>
      <c r="E239" s="18" t="s">
        <v>478</v>
      </c>
      <c r="F239" s="21">
        <v>154</v>
      </c>
      <c r="G239" s="21">
        <v>63079020</v>
      </c>
      <c r="H239" s="21" t="s">
        <v>585</v>
      </c>
      <c r="I239" s="28" t="s">
        <v>2</v>
      </c>
      <c r="J239" s="21">
        <v>0.6</v>
      </c>
      <c r="K239" s="34">
        <v>1.39</v>
      </c>
      <c r="L239" s="31">
        <f t="shared" si="9"/>
        <v>0.83399999999999996</v>
      </c>
      <c r="M239" t="str">
        <f t="shared" si="10"/>
        <v>Low Value Product</v>
      </c>
      <c r="N239" t="str">
        <f t="shared" si="11"/>
        <v>Low Revenue Product</v>
      </c>
    </row>
    <row r="240" spans="1:14" x14ac:dyDescent="0.35">
      <c r="A240" s="19" t="s">
        <v>421</v>
      </c>
      <c r="B240" s="18" t="s">
        <v>22</v>
      </c>
      <c r="C240" s="18" t="s">
        <v>23</v>
      </c>
      <c r="D240" s="7">
        <v>380</v>
      </c>
      <c r="E240" s="18" t="s">
        <v>477</v>
      </c>
      <c r="F240" s="18">
        <v>39</v>
      </c>
      <c r="G240" s="18">
        <v>90318000</v>
      </c>
      <c r="H240" s="18" t="s">
        <v>586</v>
      </c>
      <c r="I240" s="27" t="s">
        <v>21</v>
      </c>
      <c r="J240" s="18">
        <v>0.1</v>
      </c>
      <c r="K240" s="33">
        <v>19.7</v>
      </c>
      <c r="L240" s="31">
        <f t="shared" si="9"/>
        <v>1.97</v>
      </c>
      <c r="M240" t="str">
        <f t="shared" si="10"/>
        <v>Low Value Product</v>
      </c>
      <c r="N240" t="str">
        <f t="shared" si="11"/>
        <v>Low Revenue Product</v>
      </c>
    </row>
    <row r="241" spans="1:14" x14ac:dyDescent="0.35">
      <c r="A241" s="20" t="s">
        <v>421</v>
      </c>
      <c r="B241" s="21" t="s">
        <v>11</v>
      </c>
      <c r="C241" s="21" t="s">
        <v>12</v>
      </c>
      <c r="D241" s="8">
        <v>643</v>
      </c>
      <c r="E241" s="18" t="s">
        <v>479</v>
      </c>
      <c r="F241" s="21">
        <v>151</v>
      </c>
      <c r="G241" s="21">
        <v>35069910</v>
      </c>
      <c r="H241" s="21" t="s">
        <v>228</v>
      </c>
      <c r="I241" s="28" t="s">
        <v>2</v>
      </c>
      <c r="J241" s="21">
        <v>144.13999999999999</v>
      </c>
      <c r="K241" s="34">
        <v>879.66</v>
      </c>
      <c r="L241" s="31">
        <f t="shared" si="9"/>
        <v>126794.19239999999</v>
      </c>
      <c r="M241" t="str">
        <f t="shared" si="10"/>
        <v>Low Value Product</v>
      </c>
      <c r="N241" t="str">
        <f t="shared" si="11"/>
        <v>High Revenue Product</v>
      </c>
    </row>
    <row r="242" spans="1:14" x14ac:dyDescent="0.35">
      <c r="A242" s="19" t="s">
        <v>422</v>
      </c>
      <c r="B242" s="18" t="s">
        <v>370</v>
      </c>
      <c r="C242" s="18" t="s">
        <v>0</v>
      </c>
      <c r="D242" s="7">
        <v>826</v>
      </c>
      <c r="E242" s="18" t="s">
        <v>478</v>
      </c>
      <c r="F242" s="18">
        <v>154</v>
      </c>
      <c r="G242" s="18">
        <v>63041940</v>
      </c>
      <c r="H242" s="18" t="s">
        <v>74</v>
      </c>
      <c r="I242" s="27" t="s">
        <v>21</v>
      </c>
      <c r="J242" s="18">
        <v>14.89</v>
      </c>
      <c r="K242" s="33">
        <v>68.86</v>
      </c>
      <c r="L242" s="31">
        <f t="shared" si="9"/>
        <v>1025.3253999999999</v>
      </c>
      <c r="M242" t="str">
        <f t="shared" si="10"/>
        <v>Low Value Product</v>
      </c>
      <c r="N242" t="str">
        <f t="shared" si="11"/>
        <v>Low Revenue Product</v>
      </c>
    </row>
    <row r="243" spans="1:14" x14ac:dyDescent="0.35">
      <c r="A243" s="19" t="s">
        <v>422</v>
      </c>
      <c r="B243" s="18" t="s">
        <v>14</v>
      </c>
      <c r="C243" s="18" t="s">
        <v>15</v>
      </c>
      <c r="D243" s="7">
        <v>250</v>
      </c>
      <c r="E243" s="18" t="s">
        <v>476</v>
      </c>
      <c r="F243" s="18">
        <v>155</v>
      </c>
      <c r="G243" s="18">
        <v>44160099</v>
      </c>
      <c r="H243" s="18" t="s">
        <v>10</v>
      </c>
      <c r="I243" s="28" t="s">
        <v>2</v>
      </c>
      <c r="J243" s="21">
        <v>30.51</v>
      </c>
      <c r="K243" s="34">
        <v>126.89</v>
      </c>
      <c r="L243" s="31">
        <f t="shared" si="9"/>
        <v>3871.4139</v>
      </c>
      <c r="M243" t="str">
        <f t="shared" si="10"/>
        <v>Low Value Product</v>
      </c>
      <c r="N243" t="str">
        <f t="shared" si="11"/>
        <v>Low Revenue Product</v>
      </c>
    </row>
    <row r="244" spans="1:14" x14ac:dyDescent="0.35">
      <c r="A244" s="15" t="s">
        <v>422</v>
      </c>
      <c r="B244" s="16" t="s">
        <v>11</v>
      </c>
      <c r="C244" s="16" t="s">
        <v>12</v>
      </c>
      <c r="D244" s="17">
        <v>643</v>
      </c>
      <c r="E244" s="18" t="s">
        <v>479</v>
      </c>
      <c r="F244" s="16">
        <v>151</v>
      </c>
      <c r="G244" s="16">
        <v>44109090</v>
      </c>
      <c r="H244" s="16" t="s">
        <v>10</v>
      </c>
      <c r="I244" s="27" t="s">
        <v>2</v>
      </c>
      <c r="J244" s="18">
        <v>0.02</v>
      </c>
      <c r="K244" s="33">
        <v>0.63</v>
      </c>
      <c r="L244" s="31">
        <f t="shared" si="9"/>
        <v>1.26E-2</v>
      </c>
      <c r="M244" t="str">
        <f t="shared" si="10"/>
        <v>Low Value Product</v>
      </c>
      <c r="N244" t="str">
        <f t="shared" si="11"/>
        <v>Low Revenue Product</v>
      </c>
    </row>
    <row r="245" spans="1:14" x14ac:dyDescent="0.35">
      <c r="A245" s="20" t="s">
        <v>422</v>
      </c>
      <c r="B245" s="21" t="s">
        <v>40</v>
      </c>
      <c r="C245" s="21" t="s">
        <v>41</v>
      </c>
      <c r="D245" s="8">
        <v>642</v>
      </c>
      <c r="E245" s="18" t="s">
        <v>479</v>
      </c>
      <c r="F245" s="21">
        <v>151</v>
      </c>
      <c r="G245" s="21">
        <v>84099112</v>
      </c>
      <c r="H245" s="21" t="s">
        <v>356</v>
      </c>
      <c r="I245" s="28" t="s">
        <v>2</v>
      </c>
      <c r="J245" s="21">
        <v>0.02</v>
      </c>
      <c r="K245" s="34">
        <v>0.1</v>
      </c>
      <c r="L245" s="31">
        <f t="shared" si="9"/>
        <v>2E-3</v>
      </c>
      <c r="M245" t="str">
        <f t="shared" si="10"/>
        <v>Low Value Product</v>
      </c>
      <c r="N245" t="str">
        <f t="shared" si="11"/>
        <v>Low Revenue Product</v>
      </c>
    </row>
    <row r="246" spans="1:14" x14ac:dyDescent="0.35">
      <c r="A246" s="15" t="s">
        <v>423</v>
      </c>
      <c r="B246" s="16" t="s">
        <v>14</v>
      </c>
      <c r="C246" s="16" t="s">
        <v>15</v>
      </c>
      <c r="D246" s="17">
        <v>250</v>
      </c>
      <c r="E246" s="18" t="s">
        <v>476</v>
      </c>
      <c r="F246" s="16">
        <v>155</v>
      </c>
      <c r="G246" s="16">
        <v>71069290</v>
      </c>
      <c r="H246" s="16" t="s">
        <v>193</v>
      </c>
      <c r="I246" s="27" t="s">
        <v>21</v>
      </c>
      <c r="J246" s="18">
        <v>1.59</v>
      </c>
      <c r="K246" s="33">
        <v>61.01</v>
      </c>
      <c r="L246" s="31">
        <f t="shared" si="9"/>
        <v>97.005899999999997</v>
      </c>
      <c r="M246" t="str">
        <f t="shared" si="10"/>
        <v>Low Value Product</v>
      </c>
      <c r="N246" t="str">
        <f t="shared" si="11"/>
        <v>Low Revenue Product</v>
      </c>
    </row>
    <row r="247" spans="1:14" x14ac:dyDescent="0.35">
      <c r="A247" s="19" t="s">
        <v>423</v>
      </c>
      <c r="B247" s="18" t="s">
        <v>22</v>
      </c>
      <c r="C247" s="18" t="s">
        <v>23</v>
      </c>
      <c r="D247" s="7">
        <v>380</v>
      </c>
      <c r="E247" s="18" t="s">
        <v>477</v>
      </c>
      <c r="F247" s="18">
        <v>39</v>
      </c>
      <c r="G247" s="18">
        <v>85115000</v>
      </c>
      <c r="H247" s="18" t="s">
        <v>305</v>
      </c>
      <c r="I247" s="28" t="s">
        <v>2</v>
      </c>
      <c r="J247" s="21">
        <v>0</v>
      </c>
      <c r="K247" s="34">
        <v>0.72</v>
      </c>
      <c r="L247" s="31">
        <f t="shared" si="9"/>
        <v>0</v>
      </c>
      <c r="M247" t="str">
        <f t="shared" si="10"/>
        <v>Low Value Product</v>
      </c>
      <c r="N247" t="str">
        <f t="shared" si="11"/>
        <v>Low Revenue Product</v>
      </c>
    </row>
    <row r="248" spans="1:14" x14ac:dyDescent="0.35">
      <c r="A248" s="19" t="s">
        <v>423</v>
      </c>
      <c r="B248" s="18" t="s">
        <v>22</v>
      </c>
      <c r="C248" s="18" t="s">
        <v>23</v>
      </c>
      <c r="D248" s="7">
        <v>380</v>
      </c>
      <c r="E248" s="18" t="s">
        <v>477</v>
      </c>
      <c r="F248" s="18">
        <v>39</v>
      </c>
      <c r="G248" s="18">
        <v>82077090</v>
      </c>
      <c r="H248" s="18" t="s">
        <v>488</v>
      </c>
      <c r="I248" s="27" t="s">
        <v>2</v>
      </c>
      <c r="J248" s="18">
        <v>0.03</v>
      </c>
      <c r="K248" s="33">
        <v>2.1800000000000002</v>
      </c>
      <c r="L248" s="31">
        <f t="shared" si="9"/>
        <v>6.54E-2</v>
      </c>
      <c r="M248" t="str">
        <f t="shared" si="10"/>
        <v>Low Value Product</v>
      </c>
      <c r="N248" t="str">
        <f t="shared" si="11"/>
        <v>Low Revenue Product</v>
      </c>
    </row>
    <row r="249" spans="1:14" x14ac:dyDescent="0.35">
      <c r="A249" s="19" t="s">
        <v>424</v>
      </c>
      <c r="B249" s="18" t="s">
        <v>11</v>
      </c>
      <c r="C249" s="18" t="s">
        <v>12</v>
      </c>
      <c r="D249" s="7">
        <v>643</v>
      </c>
      <c r="E249" s="18" t="s">
        <v>479</v>
      </c>
      <c r="F249" s="18">
        <v>151</v>
      </c>
      <c r="G249" s="18">
        <v>9041150</v>
      </c>
      <c r="H249" s="18" t="s">
        <v>157</v>
      </c>
      <c r="I249" s="28" t="s">
        <v>2</v>
      </c>
      <c r="J249" s="21">
        <v>11715</v>
      </c>
      <c r="K249" s="34">
        <v>1.0900000000000001</v>
      </c>
      <c r="L249" s="31">
        <f t="shared" si="9"/>
        <v>12769.35</v>
      </c>
      <c r="M249" t="str">
        <f t="shared" si="10"/>
        <v>Low Value Product</v>
      </c>
      <c r="N249" t="str">
        <f t="shared" si="11"/>
        <v>Low Revenue Product</v>
      </c>
    </row>
    <row r="250" spans="1:14" x14ac:dyDescent="0.35">
      <c r="A250" s="19" t="s">
        <v>424</v>
      </c>
      <c r="B250" s="18" t="s">
        <v>44</v>
      </c>
      <c r="C250" s="18" t="s">
        <v>45</v>
      </c>
      <c r="D250" s="7">
        <v>56</v>
      </c>
      <c r="E250" s="18" t="s">
        <v>476</v>
      </c>
      <c r="F250" s="18">
        <v>155</v>
      </c>
      <c r="G250" s="18">
        <v>90211000</v>
      </c>
      <c r="H250" s="18" t="s">
        <v>115</v>
      </c>
      <c r="I250" s="27" t="s">
        <v>21</v>
      </c>
      <c r="J250" s="18">
        <v>220</v>
      </c>
      <c r="K250" s="33">
        <v>0.15</v>
      </c>
      <c r="L250" s="31">
        <f t="shared" si="9"/>
        <v>33</v>
      </c>
      <c r="M250" t="str">
        <f t="shared" si="10"/>
        <v>Low Value Product</v>
      </c>
      <c r="N250" t="str">
        <f t="shared" si="11"/>
        <v>Low Revenue Product</v>
      </c>
    </row>
    <row r="251" spans="1:14" x14ac:dyDescent="0.35">
      <c r="A251" s="20" t="s">
        <v>424</v>
      </c>
      <c r="B251" s="21" t="s">
        <v>62</v>
      </c>
      <c r="C251" s="21" t="s">
        <v>63</v>
      </c>
      <c r="D251" s="8">
        <v>752</v>
      </c>
      <c r="E251" s="18" t="s">
        <v>478</v>
      </c>
      <c r="F251" s="21">
        <v>154</v>
      </c>
      <c r="G251" s="21">
        <v>79070090</v>
      </c>
      <c r="H251" s="21" t="s">
        <v>64</v>
      </c>
      <c r="I251" s="28" t="s">
        <v>21</v>
      </c>
      <c r="J251" s="21">
        <v>800</v>
      </c>
      <c r="K251" s="34">
        <v>0</v>
      </c>
      <c r="L251" s="31">
        <f t="shared" si="9"/>
        <v>0</v>
      </c>
      <c r="M251" t="str">
        <f t="shared" si="10"/>
        <v>Low Value Product</v>
      </c>
      <c r="N251" t="str">
        <f t="shared" si="11"/>
        <v>Low Revenue Product</v>
      </c>
    </row>
    <row r="252" spans="1:14" x14ac:dyDescent="0.35">
      <c r="A252" s="15" t="s">
        <v>424</v>
      </c>
      <c r="B252" s="16" t="s">
        <v>134</v>
      </c>
      <c r="C252" s="16" t="s">
        <v>135</v>
      </c>
      <c r="D252" s="17">
        <v>300</v>
      </c>
      <c r="E252" s="18" t="s">
        <v>477</v>
      </c>
      <c r="F252" s="16">
        <v>39</v>
      </c>
      <c r="G252" s="16">
        <v>86072900</v>
      </c>
      <c r="H252" s="16" t="s">
        <v>489</v>
      </c>
      <c r="I252" s="27" t="s">
        <v>2</v>
      </c>
      <c r="J252" s="18">
        <v>2000</v>
      </c>
      <c r="K252" s="33">
        <v>0.25</v>
      </c>
      <c r="L252" s="31">
        <f t="shared" si="9"/>
        <v>500</v>
      </c>
      <c r="M252" t="str">
        <f t="shared" si="10"/>
        <v>Low Value Product</v>
      </c>
      <c r="N252" t="str">
        <f t="shared" si="11"/>
        <v>Low Revenue Product</v>
      </c>
    </row>
    <row r="253" spans="1:14" x14ac:dyDescent="0.35">
      <c r="A253" s="19" t="s">
        <v>424</v>
      </c>
      <c r="B253" s="18" t="s">
        <v>369</v>
      </c>
      <c r="C253" s="18" t="s">
        <v>3</v>
      </c>
      <c r="D253" s="7">
        <v>528</v>
      </c>
      <c r="E253" s="18" t="s">
        <v>476</v>
      </c>
      <c r="F253" s="18">
        <v>155</v>
      </c>
      <c r="G253" s="18">
        <v>90258090</v>
      </c>
      <c r="H253" s="18" t="s">
        <v>255</v>
      </c>
      <c r="I253" s="28" t="s">
        <v>21</v>
      </c>
      <c r="J253" s="21">
        <v>130</v>
      </c>
      <c r="K253" s="34">
        <v>0.04</v>
      </c>
      <c r="L253" s="31">
        <f t="shared" si="9"/>
        <v>5.2</v>
      </c>
      <c r="M253" t="str">
        <f t="shared" si="10"/>
        <v>Low Value Product</v>
      </c>
      <c r="N253" t="str">
        <f t="shared" si="11"/>
        <v>Low Revenue Product</v>
      </c>
    </row>
    <row r="254" spans="1:14" x14ac:dyDescent="0.35">
      <c r="A254" s="15" t="s">
        <v>424</v>
      </c>
      <c r="B254" s="16" t="s">
        <v>48</v>
      </c>
      <c r="C254" s="16" t="s">
        <v>49</v>
      </c>
      <c r="D254" s="17">
        <v>246</v>
      </c>
      <c r="E254" s="18" t="s">
        <v>478</v>
      </c>
      <c r="F254" s="16">
        <v>154</v>
      </c>
      <c r="G254" s="16">
        <v>42021290</v>
      </c>
      <c r="H254" s="16" t="s">
        <v>10</v>
      </c>
      <c r="I254" s="27" t="s">
        <v>21</v>
      </c>
      <c r="J254" s="18">
        <v>314</v>
      </c>
      <c r="K254" s="33">
        <v>0.22</v>
      </c>
      <c r="L254" s="31">
        <f t="shared" si="9"/>
        <v>69.08</v>
      </c>
      <c r="M254" t="str">
        <f t="shared" si="10"/>
        <v>Low Value Product</v>
      </c>
      <c r="N254" t="str">
        <f t="shared" si="11"/>
        <v>Low Revenue Product</v>
      </c>
    </row>
    <row r="255" spans="1:14" x14ac:dyDescent="0.35">
      <c r="A255" s="19" t="s">
        <v>424</v>
      </c>
      <c r="B255" s="18" t="s">
        <v>51</v>
      </c>
      <c r="C255" s="18" t="s">
        <v>52</v>
      </c>
      <c r="D255" s="7">
        <v>616</v>
      </c>
      <c r="E255" s="18" t="s">
        <v>479</v>
      </c>
      <c r="F255" s="18">
        <v>151</v>
      </c>
      <c r="G255" s="18">
        <v>84669400</v>
      </c>
      <c r="H255" s="18" t="s">
        <v>502</v>
      </c>
      <c r="I255" s="28" t="s">
        <v>2</v>
      </c>
      <c r="J255" s="21">
        <v>268</v>
      </c>
      <c r="K255" s="34">
        <v>0.12</v>
      </c>
      <c r="L255" s="31">
        <f t="shared" si="9"/>
        <v>32.159999999999997</v>
      </c>
      <c r="M255" t="str">
        <f t="shared" si="10"/>
        <v>Low Value Product</v>
      </c>
      <c r="N255" t="str">
        <f t="shared" si="11"/>
        <v>Low Revenue Product</v>
      </c>
    </row>
    <row r="256" spans="1:14" x14ac:dyDescent="0.35">
      <c r="A256" s="15" t="s">
        <v>424</v>
      </c>
      <c r="B256" s="16" t="s">
        <v>370</v>
      </c>
      <c r="C256" s="16" t="s">
        <v>0</v>
      </c>
      <c r="D256" s="17">
        <v>826</v>
      </c>
      <c r="E256" s="18" t="s">
        <v>478</v>
      </c>
      <c r="F256" s="16">
        <v>154</v>
      </c>
      <c r="G256" s="16">
        <v>30043912</v>
      </c>
      <c r="H256" s="16" t="s">
        <v>358</v>
      </c>
      <c r="I256" s="27" t="s">
        <v>21</v>
      </c>
      <c r="J256" s="18">
        <v>11</v>
      </c>
      <c r="K256" s="33">
        <v>0.01</v>
      </c>
      <c r="L256" s="31">
        <f t="shared" si="9"/>
        <v>0.11</v>
      </c>
      <c r="M256" t="str">
        <f t="shared" si="10"/>
        <v>Low Value Product</v>
      </c>
      <c r="N256" t="str">
        <f t="shared" si="11"/>
        <v>Low Revenue Product</v>
      </c>
    </row>
    <row r="257" spans="1:14" x14ac:dyDescent="0.35">
      <c r="A257" s="20" t="s">
        <v>424</v>
      </c>
      <c r="B257" s="21" t="s">
        <v>35</v>
      </c>
      <c r="C257" s="21" t="s">
        <v>36</v>
      </c>
      <c r="D257" s="8">
        <v>440</v>
      </c>
      <c r="E257" s="18" t="s">
        <v>478</v>
      </c>
      <c r="F257" s="21">
        <v>154</v>
      </c>
      <c r="G257" s="21">
        <v>90189022</v>
      </c>
      <c r="H257" s="21" t="s">
        <v>99</v>
      </c>
      <c r="I257" s="28" t="s">
        <v>2</v>
      </c>
      <c r="J257" s="21">
        <v>567</v>
      </c>
      <c r="K257" s="34">
        <v>1.06</v>
      </c>
      <c r="L257" s="31">
        <f t="shared" si="9"/>
        <v>601.02</v>
      </c>
      <c r="M257" t="str">
        <f t="shared" si="10"/>
        <v>Low Value Product</v>
      </c>
      <c r="N257" t="str">
        <f t="shared" si="11"/>
        <v>Low Revenue Product</v>
      </c>
    </row>
    <row r="258" spans="1:14" x14ac:dyDescent="0.35">
      <c r="A258" s="19" t="s">
        <v>425</v>
      </c>
      <c r="B258" s="18" t="s">
        <v>22</v>
      </c>
      <c r="C258" s="18" t="s">
        <v>23</v>
      </c>
      <c r="D258" s="7">
        <v>380</v>
      </c>
      <c r="E258" s="18" t="s">
        <v>477</v>
      </c>
      <c r="F258" s="18">
        <v>39</v>
      </c>
      <c r="G258" s="18">
        <v>29225090</v>
      </c>
      <c r="H258" s="18" t="s">
        <v>71</v>
      </c>
      <c r="I258" s="27" t="s">
        <v>2</v>
      </c>
      <c r="J258" s="18">
        <v>3630</v>
      </c>
      <c r="K258" s="33">
        <v>0.98</v>
      </c>
      <c r="L258" s="31">
        <f t="shared" si="9"/>
        <v>3557.4</v>
      </c>
      <c r="M258" t="str">
        <f t="shared" si="10"/>
        <v>Low Value Product</v>
      </c>
      <c r="N258" t="str">
        <f t="shared" si="11"/>
        <v>Low Revenue Product</v>
      </c>
    </row>
    <row r="259" spans="1:14" x14ac:dyDescent="0.35">
      <c r="A259" s="20" t="s">
        <v>425</v>
      </c>
      <c r="B259" s="21" t="s">
        <v>369</v>
      </c>
      <c r="C259" s="21" t="s">
        <v>3</v>
      </c>
      <c r="D259" s="8">
        <v>528</v>
      </c>
      <c r="E259" s="18" t="s">
        <v>476</v>
      </c>
      <c r="F259" s="21">
        <v>155</v>
      </c>
      <c r="G259" s="21">
        <v>29333929</v>
      </c>
      <c r="H259" s="21" t="s">
        <v>10</v>
      </c>
      <c r="I259" s="28" t="s">
        <v>2</v>
      </c>
      <c r="J259" s="21">
        <v>7800</v>
      </c>
      <c r="K259" s="34">
        <v>5.52</v>
      </c>
      <c r="L259" s="31">
        <f t="shared" ref="L259:L322" si="12">J259*K259</f>
        <v>43056</v>
      </c>
      <c r="M259" t="str">
        <f t="shared" ref="M259:M322" si="13">IF(K259&lt;=1000,"Low Value Product",IF(K259&lt;=2000,"Moderate Value Product","High Value Product"))</f>
        <v>Low Value Product</v>
      </c>
      <c r="N259" t="str">
        <f t="shared" ref="N259:N322" si="14">IF(L259&lt;50000,"Low Revenue Product",IF(L259&lt;100000,"Medium Revenue Product","High Revenue Product"))</f>
        <v>Low Revenue Product</v>
      </c>
    </row>
    <row r="260" spans="1:14" x14ac:dyDescent="0.35">
      <c r="A260" s="19" t="s">
        <v>426</v>
      </c>
      <c r="B260" s="18" t="s">
        <v>8</v>
      </c>
      <c r="C260" s="18" t="s">
        <v>9</v>
      </c>
      <c r="D260" s="7">
        <v>348</v>
      </c>
      <c r="E260" s="18" t="s">
        <v>479</v>
      </c>
      <c r="F260" s="18">
        <v>151</v>
      </c>
      <c r="G260" s="18">
        <v>82079090</v>
      </c>
      <c r="H260" s="18" t="s">
        <v>10</v>
      </c>
      <c r="I260" s="27" t="s">
        <v>2</v>
      </c>
      <c r="J260" s="18">
        <v>0.67</v>
      </c>
      <c r="K260" s="33">
        <v>2.35</v>
      </c>
      <c r="L260" s="31">
        <f t="shared" si="12"/>
        <v>1.5745000000000002</v>
      </c>
      <c r="M260" t="str">
        <f t="shared" si="13"/>
        <v>Low Value Product</v>
      </c>
      <c r="N260" t="str">
        <f t="shared" si="14"/>
        <v>Low Revenue Product</v>
      </c>
    </row>
    <row r="261" spans="1:14" x14ac:dyDescent="0.35">
      <c r="A261" s="20" t="s">
        <v>426</v>
      </c>
      <c r="B261" s="21" t="s">
        <v>65</v>
      </c>
      <c r="C261" s="21" t="s">
        <v>66</v>
      </c>
      <c r="D261" s="8">
        <v>470</v>
      </c>
      <c r="E261" s="18" t="s">
        <v>477</v>
      </c>
      <c r="F261" s="21">
        <v>39</v>
      </c>
      <c r="G261" s="21">
        <v>90183990</v>
      </c>
      <c r="H261" s="21" t="s">
        <v>10</v>
      </c>
      <c r="I261" s="28" t="s">
        <v>2</v>
      </c>
      <c r="J261" s="21">
        <v>0</v>
      </c>
      <c r="K261" s="34">
        <v>0.01</v>
      </c>
      <c r="L261" s="31">
        <f t="shared" si="12"/>
        <v>0</v>
      </c>
      <c r="M261" t="str">
        <f t="shared" si="13"/>
        <v>Low Value Product</v>
      </c>
      <c r="N261" t="str">
        <f t="shared" si="14"/>
        <v>Low Revenue Product</v>
      </c>
    </row>
    <row r="262" spans="1:14" x14ac:dyDescent="0.35">
      <c r="A262" s="19" t="s">
        <v>426</v>
      </c>
      <c r="B262" s="18" t="s">
        <v>370</v>
      </c>
      <c r="C262" s="18" t="s">
        <v>0</v>
      </c>
      <c r="D262" s="7">
        <v>826</v>
      </c>
      <c r="E262" s="18" t="s">
        <v>478</v>
      </c>
      <c r="F262" s="18">
        <v>154</v>
      </c>
      <c r="G262" s="18">
        <v>84091000</v>
      </c>
      <c r="H262" s="18" t="s">
        <v>159</v>
      </c>
      <c r="I262" s="27" t="s">
        <v>2</v>
      </c>
      <c r="J262" s="18">
        <v>0.01</v>
      </c>
      <c r="K262" s="33">
        <v>5.46</v>
      </c>
      <c r="L262" s="31">
        <f t="shared" si="12"/>
        <v>5.4600000000000003E-2</v>
      </c>
      <c r="M262" t="str">
        <f t="shared" si="13"/>
        <v>Low Value Product</v>
      </c>
      <c r="N262" t="str">
        <f t="shared" si="14"/>
        <v>Low Revenue Product</v>
      </c>
    </row>
    <row r="263" spans="1:14" x14ac:dyDescent="0.35">
      <c r="A263" s="20" t="s">
        <v>426</v>
      </c>
      <c r="B263" s="21" t="s">
        <v>62</v>
      </c>
      <c r="C263" s="21" t="s">
        <v>63</v>
      </c>
      <c r="D263" s="8">
        <v>752</v>
      </c>
      <c r="E263" s="18" t="s">
        <v>478</v>
      </c>
      <c r="F263" s="21">
        <v>154</v>
      </c>
      <c r="G263" s="21">
        <v>84149040</v>
      </c>
      <c r="H263" s="21" t="s">
        <v>506</v>
      </c>
      <c r="I263" s="28" t="s">
        <v>21</v>
      </c>
      <c r="J263" s="21">
        <v>185.2</v>
      </c>
      <c r="K263" s="34">
        <v>20.47</v>
      </c>
      <c r="L263" s="31">
        <f t="shared" si="12"/>
        <v>3791.0439999999994</v>
      </c>
      <c r="M263" t="str">
        <f t="shared" si="13"/>
        <v>Low Value Product</v>
      </c>
      <c r="N263" t="str">
        <f t="shared" si="14"/>
        <v>Low Revenue Product</v>
      </c>
    </row>
    <row r="264" spans="1:14" x14ac:dyDescent="0.35">
      <c r="A264" s="15" t="s">
        <v>427</v>
      </c>
      <c r="B264" s="16" t="s">
        <v>370</v>
      </c>
      <c r="C264" s="16" t="s">
        <v>0</v>
      </c>
      <c r="D264" s="17">
        <v>826</v>
      </c>
      <c r="E264" s="18" t="s">
        <v>478</v>
      </c>
      <c r="F264" s="16">
        <v>154</v>
      </c>
      <c r="G264" s="16">
        <v>85021310</v>
      </c>
      <c r="H264" s="16" t="s">
        <v>330</v>
      </c>
      <c r="I264" s="27" t="s">
        <v>17</v>
      </c>
      <c r="J264" s="18"/>
      <c r="K264" s="33">
        <v>0.01</v>
      </c>
      <c r="L264" s="31">
        <f t="shared" si="12"/>
        <v>0</v>
      </c>
      <c r="M264" t="str">
        <f t="shared" si="13"/>
        <v>Low Value Product</v>
      </c>
      <c r="N264" t="str">
        <f t="shared" si="14"/>
        <v>Low Revenue Product</v>
      </c>
    </row>
    <row r="265" spans="1:14" x14ac:dyDescent="0.35">
      <c r="A265" s="19" t="s">
        <v>427</v>
      </c>
      <c r="B265" s="18" t="s">
        <v>35</v>
      </c>
      <c r="C265" s="18" t="s">
        <v>36</v>
      </c>
      <c r="D265" s="7">
        <v>440</v>
      </c>
      <c r="E265" s="18" t="s">
        <v>478</v>
      </c>
      <c r="F265" s="18">
        <v>154</v>
      </c>
      <c r="G265" s="18">
        <v>57021000</v>
      </c>
      <c r="H265" s="18" t="s">
        <v>37</v>
      </c>
      <c r="I265" s="28" t="s">
        <v>21</v>
      </c>
      <c r="J265" s="21">
        <v>0.01</v>
      </c>
      <c r="K265" s="34">
        <v>169.14</v>
      </c>
      <c r="L265" s="31">
        <f t="shared" si="12"/>
        <v>1.6913999999999998</v>
      </c>
      <c r="M265" t="str">
        <f t="shared" si="13"/>
        <v>Low Value Product</v>
      </c>
      <c r="N265" t="str">
        <f t="shared" si="14"/>
        <v>Low Revenue Product</v>
      </c>
    </row>
    <row r="266" spans="1:14" x14ac:dyDescent="0.35">
      <c r="A266" s="19" t="s">
        <v>427</v>
      </c>
      <c r="B266" s="18" t="s">
        <v>60</v>
      </c>
      <c r="C266" s="18" t="s">
        <v>61</v>
      </c>
      <c r="D266" s="7">
        <v>724</v>
      </c>
      <c r="E266" s="18" t="s">
        <v>477</v>
      </c>
      <c r="F266" s="18">
        <v>39</v>
      </c>
      <c r="G266" s="18">
        <v>40149090</v>
      </c>
      <c r="H266" s="18" t="s">
        <v>490</v>
      </c>
      <c r="I266" s="27" t="s">
        <v>21</v>
      </c>
      <c r="J266" s="18">
        <v>22</v>
      </c>
      <c r="K266" s="33">
        <v>19.420000000000002</v>
      </c>
      <c r="L266" s="31">
        <f t="shared" si="12"/>
        <v>427.24</v>
      </c>
      <c r="M266" t="str">
        <f t="shared" si="13"/>
        <v>Low Value Product</v>
      </c>
      <c r="N266" t="str">
        <f t="shared" si="14"/>
        <v>Low Revenue Product</v>
      </c>
    </row>
    <row r="267" spans="1:14" x14ac:dyDescent="0.35">
      <c r="A267" s="20" t="s">
        <v>427</v>
      </c>
      <c r="B267" s="21" t="s">
        <v>18</v>
      </c>
      <c r="C267" s="21" t="s">
        <v>19</v>
      </c>
      <c r="D267" s="8">
        <v>620</v>
      </c>
      <c r="E267" s="18" t="s">
        <v>477</v>
      </c>
      <c r="F267" s="21">
        <v>39</v>
      </c>
      <c r="G267" s="21">
        <v>29038900</v>
      </c>
      <c r="H267" s="21" t="s">
        <v>139</v>
      </c>
      <c r="I267" s="28" t="s">
        <v>2</v>
      </c>
      <c r="J267" s="21">
        <v>0.79</v>
      </c>
      <c r="K267" s="34">
        <v>436.25</v>
      </c>
      <c r="L267" s="31">
        <f t="shared" si="12"/>
        <v>344.63749999999999</v>
      </c>
      <c r="M267" t="str">
        <f t="shared" si="13"/>
        <v>Low Value Product</v>
      </c>
      <c r="N267" t="str">
        <f t="shared" si="14"/>
        <v>Low Revenue Product</v>
      </c>
    </row>
    <row r="268" spans="1:14" x14ac:dyDescent="0.35">
      <c r="A268" s="19" t="s">
        <v>427</v>
      </c>
      <c r="B268" s="18" t="s">
        <v>18</v>
      </c>
      <c r="C268" s="18" t="s">
        <v>19</v>
      </c>
      <c r="D268" s="7">
        <v>620</v>
      </c>
      <c r="E268" s="18" t="s">
        <v>477</v>
      </c>
      <c r="F268" s="18">
        <v>39</v>
      </c>
      <c r="G268" s="18">
        <v>42022190</v>
      </c>
      <c r="H268" s="18" t="s">
        <v>20</v>
      </c>
      <c r="I268" s="27" t="s">
        <v>21</v>
      </c>
      <c r="J268" s="18">
        <v>0.33</v>
      </c>
      <c r="K268" s="33">
        <v>1.42</v>
      </c>
      <c r="L268" s="31">
        <f t="shared" si="12"/>
        <v>0.46860000000000002</v>
      </c>
      <c r="M268" t="str">
        <f t="shared" si="13"/>
        <v>Low Value Product</v>
      </c>
      <c r="N268" t="str">
        <f t="shared" si="14"/>
        <v>Low Revenue Product</v>
      </c>
    </row>
    <row r="269" spans="1:14" x14ac:dyDescent="0.35">
      <c r="A269" s="20" t="s">
        <v>427</v>
      </c>
      <c r="B269" s="21" t="s">
        <v>62</v>
      </c>
      <c r="C269" s="21" t="s">
        <v>63</v>
      </c>
      <c r="D269" s="8">
        <v>752</v>
      </c>
      <c r="E269" s="18" t="s">
        <v>478</v>
      </c>
      <c r="F269" s="21">
        <v>154</v>
      </c>
      <c r="G269" s="21">
        <v>94043090</v>
      </c>
      <c r="H269" s="21" t="s">
        <v>491</v>
      </c>
      <c r="I269" s="28" t="s">
        <v>145</v>
      </c>
      <c r="J269" s="21">
        <v>0.41</v>
      </c>
      <c r="K269" s="34">
        <v>102.76</v>
      </c>
      <c r="L269" s="31">
        <f t="shared" si="12"/>
        <v>42.131599999999999</v>
      </c>
      <c r="M269" t="str">
        <f t="shared" si="13"/>
        <v>Low Value Product</v>
      </c>
      <c r="N269" t="str">
        <f t="shared" si="14"/>
        <v>Low Revenue Product</v>
      </c>
    </row>
    <row r="270" spans="1:14" x14ac:dyDescent="0.35">
      <c r="A270" s="19" t="s">
        <v>427</v>
      </c>
      <c r="B270" s="18" t="s">
        <v>22</v>
      </c>
      <c r="C270" s="18" t="s">
        <v>23</v>
      </c>
      <c r="D270" s="7">
        <v>380</v>
      </c>
      <c r="E270" s="18" t="s">
        <v>477</v>
      </c>
      <c r="F270" s="18">
        <v>39</v>
      </c>
      <c r="G270" s="18">
        <v>85334090</v>
      </c>
      <c r="H270" s="18" t="s">
        <v>10</v>
      </c>
      <c r="I270" s="27" t="s">
        <v>2</v>
      </c>
      <c r="J270" s="18">
        <v>0.36</v>
      </c>
      <c r="K270" s="33">
        <v>0.6</v>
      </c>
      <c r="L270" s="31">
        <f t="shared" si="12"/>
        <v>0.216</v>
      </c>
      <c r="M270" t="str">
        <f t="shared" si="13"/>
        <v>Low Value Product</v>
      </c>
      <c r="N270" t="str">
        <f t="shared" si="14"/>
        <v>Low Revenue Product</v>
      </c>
    </row>
    <row r="271" spans="1:14" x14ac:dyDescent="0.35">
      <c r="A271" s="20" t="s">
        <v>427</v>
      </c>
      <c r="B271" s="21" t="s">
        <v>86</v>
      </c>
      <c r="C271" s="21" t="s">
        <v>87</v>
      </c>
      <c r="D271" s="8">
        <v>40</v>
      </c>
      <c r="E271" s="18" t="s">
        <v>476</v>
      </c>
      <c r="F271" s="21">
        <v>155</v>
      </c>
      <c r="G271" s="21">
        <v>71039952</v>
      </c>
      <c r="H271" s="21" t="s">
        <v>144</v>
      </c>
      <c r="I271" s="28" t="s">
        <v>21</v>
      </c>
      <c r="J271" s="21">
        <v>3.32</v>
      </c>
      <c r="K271" s="34">
        <v>7.24</v>
      </c>
      <c r="L271" s="31">
        <f t="shared" si="12"/>
        <v>24.036799999999999</v>
      </c>
      <c r="M271" t="str">
        <f t="shared" si="13"/>
        <v>Low Value Product</v>
      </c>
      <c r="N271" t="str">
        <f t="shared" si="14"/>
        <v>Low Revenue Product</v>
      </c>
    </row>
    <row r="272" spans="1:14" x14ac:dyDescent="0.35">
      <c r="A272" s="19" t="s">
        <v>428</v>
      </c>
      <c r="B272" s="18" t="s">
        <v>370</v>
      </c>
      <c r="C272" s="18" t="s">
        <v>0</v>
      </c>
      <c r="D272" s="7">
        <v>826</v>
      </c>
      <c r="E272" s="18" t="s">
        <v>478</v>
      </c>
      <c r="F272" s="18">
        <v>154</v>
      </c>
      <c r="G272" s="18">
        <v>94035010</v>
      </c>
      <c r="H272" s="18" t="s">
        <v>243</v>
      </c>
      <c r="I272" s="27" t="s">
        <v>2</v>
      </c>
      <c r="J272" s="18">
        <v>7.0000000000000007E-2</v>
      </c>
      <c r="K272" s="33">
        <v>48.01</v>
      </c>
      <c r="L272" s="31">
        <f t="shared" si="12"/>
        <v>3.3607</v>
      </c>
      <c r="M272" t="str">
        <f t="shared" si="13"/>
        <v>Low Value Product</v>
      </c>
      <c r="N272" t="str">
        <f t="shared" si="14"/>
        <v>Low Revenue Product</v>
      </c>
    </row>
    <row r="273" spans="1:14" x14ac:dyDescent="0.35">
      <c r="A273" s="19" t="s">
        <v>428</v>
      </c>
      <c r="B273" s="18" t="s">
        <v>22</v>
      </c>
      <c r="C273" s="18" t="s">
        <v>23</v>
      </c>
      <c r="D273" s="7">
        <v>380</v>
      </c>
      <c r="E273" s="18" t="s">
        <v>477</v>
      </c>
      <c r="F273" s="18">
        <v>39</v>
      </c>
      <c r="G273" s="18">
        <v>85332119</v>
      </c>
      <c r="H273" s="18" t="s">
        <v>587</v>
      </c>
      <c r="I273" s="28" t="s">
        <v>21</v>
      </c>
      <c r="J273" s="21">
        <v>0</v>
      </c>
      <c r="K273" s="34">
        <v>94.23</v>
      </c>
      <c r="L273" s="31">
        <f t="shared" si="12"/>
        <v>0</v>
      </c>
      <c r="M273" t="str">
        <f t="shared" si="13"/>
        <v>Low Value Product</v>
      </c>
      <c r="N273" t="str">
        <f t="shared" si="14"/>
        <v>Low Revenue Product</v>
      </c>
    </row>
    <row r="274" spans="1:14" x14ac:dyDescent="0.35">
      <c r="A274" s="19" t="s">
        <v>428</v>
      </c>
      <c r="B274" s="18" t="s">
        <v>370</v>
      </c>
      <c r="C274" s="18" t="s">
        <v>0</v>
      </c>
      <c r="D274" s="7">
        <v>826</v>
      </c>
      <c r="E274" s="18" t="s">
        <v>478</v>
      </c>
      <c r="F274" s="18">
        <v>154</v>
      </c>
      <c r="G274" s="18">
        <v>71131190</v>
      </c>
      <c r="H274" s="18" t="s">
        <v>240</v>
      </c>
      <c r="I274" s="27" t="s">
        <v>21</v>
      </c>
      <c r="J274" s="18">
        <v>0.01</v>
      </c>
      <c r="K274" s="33">
        <v>0.47</v>
      </c>
      <c r="L274" s="31">
        <f t="shared" si="12"/>
        <v>4.7000000000000002E-3</v>
      </c>
      <c r="M274" t="str">
        <f t="shared" si="13"/>
        <v>Low Value Product</v>
      </c>
      <c r="N274" t="str">
        <f t="shared" si="14"/>
        <v>Low Revenue Product</v>
      </c>
    </row>
    <row r="275" spans="1:14" x14ac:dyDescent="0.35">
      <c r="A275" s="20" t="s">
        <v>428</v>
      </c>
      <c r="B275" s="21" t="s">
        <v>48</v>
      </c>
      <c r="C275" s="21" t="s">
        <v>49</v>
      </c>
      <c r="D275" s="8">
        <v>246</v>
      </c>
      <c r="E275" s="18" t="s">
        <v>478</v>
      </c>
      <c r="F275" s="21">
        <v>154</v>
      </c>
      <c r="G275" s="21">
        <v>84741090</v>
      </c>
      <c r="H275" s="21" t="s">
        <v>609</v>
      </c>
      <c r="I275" s="28" t="s">
        <v>21</v>
      </c>
      <c r="J275" s="21">
        <v>209.4</v>
      </c>
      <c r="K275" s="34">
        <v>1259.55</v>
      </c>
      <c r="L275" s="31">
        <f t="shared" si="12"/>
        <v>263749.77</v>
      </c>
      <c r="M275" t="str">
        <f t="shared" si="13"/>
        <v>Moderate Value Product</v>
      </c>
      <c r="N275" t="str">
        <f t="shared" si="14"/>
        <v>High Revenue Product</v>
      </c>
    </row>
    <row r="276" spans="1:14" x14ac:dyDescent="0.35">
      <c r="A276" s="15" t="s">
        <v>428</v>
      </c>
      <c r="B276" s="16" t="s">
        <v>55</v>
      </c>
      <c r="C276" s="16" t="s">
        <v>56</v>
      </c>
      <c r="D276" s="17">
        <v>276</v>
      </c>
      <c r="E276" s="18" t="s">
        <v>476</v>
      </c>
      <c r="F276" s="16">
        <v>155</v>
      </c>
      <c r="G276" s="16">
        <v>62034200</v>
      </c>
      <c r="H276" s="16" t="s">
        <v>521</v>
      </c>
      <c r="I276" s="27" t="s">
        <v>21</v>
      </c>
      <c r="J276" s="18">
        <v>35.799999999999997</v>
      </c>
      <c r="K276" s="33">
        <v>2.6</v>
      </c>
      <c r="L276" s="31">
        <f t="shared" si="12"/>
        <v>93.08</v>
      </c>
      <c r="M276" t="str">
        <f t="shared" si="13"/>
        <v>Low Value Product</v>
      </c>
      <c r="N276" t="str">
        <f t="shared" si="14"/>
        <v>Low Revenue Product</v>
      </c>
    </row>
    <row r="277" spans="1:14" x14ac:dyDescent="0.35">
      <c r="A277" s="19" t="s">
        <v>429</v>
      </c>
      <c r="B277" s="18" t="s">
        <v>62</v>
      </c>
      <c r="C277" s="18" t="s">
        <v>63</v>
      </c>
      <c r="D277" s="7">
        <v>752</v>
      </c>
      <c r="E277" s="18" t="s">
        <v>478</v>
      </c>
      <c r="F277" s="18">
        <v>154</v>
      </c>
      <c r="G277" s="18">
        <v>84314100</v>
      </c>
      <c r="H277" s="18" t="s">
        <v>610</v>
      </c>
      <c r="I277" s="28" t="s">
        <v>2</v>
      </c>
      <c r="J277" s="21">
        <v>2.8</v>
      </c>
      <c r="K277" s="34">
        <v>26.5</v>
      </c>
      <c r="L277" s="31">
        <f t="shared" si="12"/>
        <v>74.199999999999989</v>
      </c>
      <c r="M277" t="str">
        <f t="shared" si="13"/>
        <v>Low Value Product</v>
      </c>
      <c r="N277" t="str">
        <f t="shared" si="14"/>
        <v>Low Revenue Product</v>
      </c>
    </row>
    <row r="278" spans="1:14" x14ac:dyDescent="0.35">
      <c r="A278" s="19" t="s">
        <v>429</v>
      </c>
      <c r="B278" s="18" t="s">
        <v>8</v>
      </c>
      <c r="C278" s="18" t="s">
        <v>9</v>
      </c>
      <c r="D278" s="7">
        <v>348</v>
      </c>
      <c r="E278" s="18" t="s">
        <v>479</v>
      </c>
      <c r="F278" s="18">
        <v>151</v>
      </c>
      <c r="G278" s="18">
        <v>62114290</v>
      </c>
      <c r="H278" s="18" t="s">
        <v>617</v>
      </c>
      <c r="I278" s="27" t="s">
        <v>2</v>
      </c>
      <c r="J278" s="18">
        <v>25.92</v>
      </c>
      <c r="K278" s="33">
        <v>71.180000000000007</v>
      </c>
      <c r="L278" s="31">
        <f t="shared" si="12"/>
        <v>1844.9856000000002</v>
      </c>
      <c r="M278" t="str">
        <f t="shared" si="13"/>
        <v>Low Value Product</v>
      </c>
      <c r="N278" t="str">
        <f t="shared" si="14"/>
        <v>Low Revenue Product</v>
      </c>
    </row>
    <row r="279" spans="1:14" x14ac:dyDescent="0.35">
      <c r="A279" s="20" t="s">
        <v>429</v>
      </c>
      <c r="B279" s="21" t="s">
        <v>48</v>
      </c>
      <c r="C279" s="21" t="s">
        <v>49</v>
      </c>
      <c r="D279" s="8">
        <v>246</v>
      </c>
      <c r="E279" s="18" t="s">
        <v>478</v>
      </c>
      <c r="F279" s="21">
        <v>154</v>
      </c>
      <c r="G279" s="21">
        <v>85059000</v>
      </c>
      <c r="H279" s="21" t="s">
        <v>323</v>
      </c>
      <c r="I279" s="28" t="s">
        <v>2</v>
      </c>
      <c r="J279" s="21">
        <v>0.34</v>
      </c>
      <c r="K279" s="34">
        <v>3.22</v>
      </c>
      <c r="L279" s="31">
        <f t="shared" si="12"/>
        <v>1.0948000000000002</v>
      </c>
      <c r="M279" t="str">
        <f t="shared" si="13"/>
        <v>Low Value Product</v>
      </c>
      <c r="N279" t="str">
        <f t="shared" si="14"/>
        <v>Low Revenue Product</v>
      </c>
    </row>
    <row r="280" spans="1:14" x14ac:dyDescent="0.35">
      <c r="A280" s="15" t="s">
        <v>429</v>
      </c>
      <c r="B280" s="16" t="s">
        <v>38</v>
      </c>
      <c r="C280" s="16" t="s">
        <v>39</v>
      </c>
      <c r="D280" s="17">
        <v>703</v>
      </c>
      <c r="E280" s="18" t="s">
        <v>479</v>
      </c>
      <c r="F280" s="16">
        <v>151</v>
      </c>
      <c r="G280" s="16">
        <v>87082900</v>
      </c>
      <c r="H280" s="16" t="s">
        <v>568</v>
      </c>
      <c r="I280" s="27" t="s">
        <v>2</v>
      </c>
      <c r="J280" s="18">
        <v>41.62</v>
      </c>
      <c r="K280" s="33">
        <v>110.48</v>
      </c>
      <c r="L280" s="31">
        <f t="shared" si="12"/>
        <v>4598.1776</v>
      </c>
      <c r="M280" t="str">
        <f t="shared" si="13"/>
        <v>Low Value Product</v>
      </c>
      <c r="N280" t="str">
        <f t="shared" si="14"/>
        <v>Low Revenue Product</v>
      </c>
    </row>
    <row r="281" spans="1:14" x14ac:dyDescent="0.35">
      <c r="A281" s="20" t="s">
        <v>429</v>
      </c>
      <c r="B281" s="21" t="s">
        <v>22</v>
      </c>
      <c r="C281" s="21" t="s">
        <v>23</v>
      </c>
      <c r="D281" s="8">
        <v>380</v>
      </c>
      <c r="E281" s="18" t="s">
        <v>477</v>
      </c>
      <c r="F281" s="21">
        <v>39</v>
      </c>
      <c r="G281" s="21">
        <v>91052900</v>
      </c>
      <c r="H281" s="21" t="s">
        <v>110</v>
      </c>
      <c r="I281" s="28" t="s">
        <v>21</v>
      </c>
      <c r="J281" s="21">
        <v>0.4</v>
      </c>
      <c r="K281" s="34">
        <v>5.95</v>
      </c>
      <c r="L281" s="31">
        <f t="shared" si="12"/>
        <v>2.3800000000000003</v>
      </c>
      <c r="M281" t="str">
        <f t="shared" si="13"/>
        <v>Low Value Product</v>
      </c>
      <c r="N281" t="str">
        <f t="shared" si="14"/>
        <v>Low Revenue Product</v>
      </c>
    </row>
    <row r="282" spans="1:14" x14ac:dyDescent="0.35">
      <c r="A282" s="19" t="s">
        <v>429</v>
      </c>
      <c r="B282" s="18" t="s">
        <v>14</v>
      </c>
      <c r="C282" s="18" t="s">
        <v>15</v>
      </c>
      <c r="D282" s="7">
        <v>250</v>
      </c>
      <c r="E282" s="18" t="s">
        <v>476</v>
      </c>
      <c r="F282" s="18">
        <v>155</v>
      </c>
      <c r="G282" s="18">
        <v>84314990</v>
      </c>
      <c r="H282" s="18" t="s">
        <v>608</v>
      </c>
      <c r="I282" s="27" t="s">
        <v>21</v>
      </c>
      <c r="J282" s="18">
        <v>25.57</v>
      </c>
      <c r="K282" s="33">
        <v>54.83</v>
      </c>
      <c r="L282" s="31">
        <f t="shared" si="12"/>
        <v>1402.0030999999999</v>
      </c>
      <c r="M282" t="str">
        <f t="shared" si="13"/>
        <v>Low Value Product</v>
      </c>
      <c r="N282" t="str">
        <f t="shared" si="14"/>
        <v>Low Revenue Product</v>
      </c>
    </row>
    <row r="283" spans="1:14" x14ac:dyDescent="0.35">
      <c r="A283" s="20" t="s">
        <v>429</v>
      </c>
      <c r="B283" s="21" t="s">
        <v>22</v>
      </c>
      <c r="C283" s="21" t="s">
        <v>23</v>
      </c>
      <c r="D283" s="8">
        <v>380</v>
      </c>
      <c r="E283" s="18" t="s">
        <v>477</v>
      </c>
      <c r="F283" s="21">
        <v>39</v>
      </c>
      <c r="G283" s="21">
        <v>40091100</v>
      </c>
      <c r="H283" s="21" t="s">
        <v>618</v>
      </c>
      <c r="I283" s="28" t="s">
        <v>2</v>
      </c>
      <c r="J283" s="21">
        <v>0.02</v>
      </c>
      <c r="K283" s="34">
        <v>0.31</v>
      </c>
      <c r="L283" s="31">
        <f t="shared" si="12"/>
        <v>6.1999999999999998E-3</v>
      </c>
      <c r="M283" t="str">
        <f t="shared" si="13"/>
        <v>Low Value Product</v>
      </c>
      <c r="N283" t="str">
        <f t="shared" si="14"/>
        <v>Low Revenue Product</v>
      </c>
    </row>
    <row r="284" spans="1:14" x14ac:dyDescent="0.35">
      <c r="A284" s="15" t="s">
        <v>430</v>
      </c>
      <c r="B284" s="16" t="s">
        <v>86</v>
      </c>
      <c r="C284" s="16" t="s">
        <v>87</v>
      </c>
      <c r="D284" s="17">
        <v>40</v>
      </c>
      <c r="E284" s="18" t="s">
        <v>476</v>
      </c>
      <c r="F284" s="16">
        <v>155</v>
      </c>
      <c r="G284" s="16">
        <v>34060010</v>
      </c>
      <c r="H284" s="16" t="s">
        <v>89</v>
      </c>
      <c r="I284" s="27" t="s">
        <v>21</v>
      </c>
      <c r="J284" s="18">
        <v>1.65</v>
      </c>
      <c r="K284" s="33">
        <v>6.28</v>
      </c>
      <c r="L284" s="31">
        <f t="shared" si="12"/>
        <v>10.362</v>
      </c>
      <c r="M284" t="str">
        <f t="shared" si="13"/>
        <v>Low Value Product</v>
      </c>
      <c r="N284" t="str">
        <f t="shared" si="14"/>
        <v>Low Revenue Product</v>
      </c>
    </row>
    <row r="285" spans="1:14" x14ac:dyDescent="0.35">
      <c r="A285" s="19" t="s">
        <v>430</v>
      </c>
      <c r="B285" s="18" t="s">
        <v>31</v>
      </c>
      <c r="C285" s="18" t="s">
        <v>32</v>
      </c>
      <c r="D285" s="7">
        <v>112</v>
      </c>
      <c r="E285" s="18" t="s">
        <v>479</v>
      </c>
      <c r="F285" s="18">
        <v>151</v>
      </c>
      <c r="G285" s="18">
        <v>9011143</v>
      </c>
      <c r="H285" s="18" t="s">
        <v>121</v>
      </c>
      <c r="I285" s="28" t="s">
        <v>2</v>
      </c>
      <c r="J285" s="21">
        <v>0.01</v>
      </c>
      <c r="K285" s="34">
        <v>0.02</v>
      </c>
      <c r="L285" s="31">
        <f t="shared" si="12"/>
        <v>2.0000000000000001E-4</v>
      </c>
      <c r="M285" t="str">
        <f t="shared" si="13"/>
        <v>Low Value Product</v>
      </c>
      <c r="N285" t="str">
        <f t="shared" si="14"/>
        <v>Low Revenue Product</v>
      </c>
    </row>
    <row r="286" spans="1:14" x14ac:dyDescent="0.35">
      <c r="A286" s="19" t="s">
        <v>430</v>
      </c>
      <c r="B286" s="18" t="s">
        <v>55</v>
      </c>
      <c r="C286" s="18" t="s">
        <v>56</v>
      </c>
      <c r="D286" s="7">
        <v>276</v>
      </c>
      <c r="E286" s="18" t="s">
        <v>476</v>
      </c>
      <c r="F286" s="18">
        <v>155</v>
      </c>
      <c r="G286" s="18">
        <v>61034100</v>
      </c>
      <c r="H286" s="18" t="s">
        <v>57</v>
      </c>
      <c r="I286" s="27" t="s">
        <v>2</v>
      </c>
      <c r="J286" s="18">
        <v>4.9800000000000004</v>
      </c>
      <c r="K286" s="33">
        <v>6.75</v>
      </c>
      <c r="L286" s="31">
        <f t="shared" si="12"/>
        <v>33.615000000000002</v>
      </c>
      <c r="M286" t="str">
        <f t="shared" si="13"/>
        <v>Low Value Product</v>
      </c>
      <c r="N286" t="str">
        <f t="shared" si="14"/>
        <v>Low Revenue Product</v>
      </c>
    </row>
    <row r="287" spans="1:14" x14ac:dyDescent="0.35">
      <c r="A287" s="20" t="s">
        <v>431</v>
      </c>
      <c r="B287" s="21" t="s">
        <v>370</v>
      </c>
      <c r="C287" s="21" t="s">
        <v>0</v>
      </c>
      <c r="D287" s="8">
        <v>826</v>
      </c>
      <c r="E287" s="18" t="s">
        <v>478</v>
      </c>
      <c r="F287" s="21">
        <v>154</v>
      </c>
      <c r="G287" s="21">
        <v>85322990</v>
      </c>
      <c r="H287" s="21" t="s">
        <v>112</v>
      </c>
      <c r="I287" s="28" t="s">
        <v>2</v>
      </c>
      <c r="J287" s="21">
        <v>0.28000000000000003</v>
      </c>
      <c r="K287" s="34">
        <v>0.41</v>
      </c>
      <c r="L287" s="31">
        <f t="shared" si="12"/>
        <v>0.1148</v>
      </c>
      <c r="M287" t="str">
        <f t="shared" si="13"/>
        <v>Low Value Product</v>
      </c>
      <c r="N287" t="str">
        <f t="shared" si="14"/>
        <v>Low Revenue Product</v>
      </c>
    </row>
    <row r="288" spans="1:14" x14ac:dyDescent="0.35">
      <c r="A288" s="19" t="s">
        <v>431</v>
      </c>
      <c r="B288" s="18" t="s">
        <v>370</v>
      </c>
      <c r="C288" s="18" t="s">
        <v>0</v>
      </c>
      <c r="D288" s="7">
        <v>826</v>
      </c>
      <c r="E288" s="18" t="s">
        <v>478</v>
      </c>
      <c r="F288" s="18">
        <v>154</v>
      </c>
      <c r="G288" s="18">
        <v>44182090</v>
      </c>
      <c r="H288" s="18" t="s">
        <v>10</v>
      </c>
      <c r="I288" s="27" t="s">
        <v>21</v>
      </c>
      <c r="J288" s="18">
        <v>656.68</v>
      </c>
      <c r="K288" s="33">
        <v>2336.1</v>
      </c>
      <c r="L288" s="31">
        <f t="shared" si="12"/>
        <v>1534070.1479999998</v>
      </c>
      <c r="M288" t="str">
        <f t="shared" si="13"/>
        <v>High Value Product</v>
      </c>
      <c r="N288" t="str">
        <f t="shared" si="14"/>
        <v>High Revenue Product</v>
      </c>
    </row>
    <row r="289" spans="1:14" x14ac:dyDescent="0.35">
      <c r="A289" s="20" t="s">
        <v>431</v>
      </c>
      <c r="B289" s="21" t="s">
        <v>55</v>
      </c>
      <c r="C289" s="21" t="s">
        <v>56</v>
      </c>
      <c r="D289" s="8">
        <v>276</v>
      </c>
      <c r="E289" s="18" t="s">
        <v>476</v>
      </c>
      <c r="F289" s="21">
        <v>155</v>
      </c>
      <c r="G289" s="21">
        <v>87149600</v>
      </c>
      <c r="H289" s="21" t="s">
        <v>507</v>
      </c>
      <c r="I289" s="28" t="s">
        <v>169</v>
      </c>
      <c r="J289" s="21">
        <v>0.09</v>
      </c>
      <c r="K289" s="34">
        <v>7.78</v>
      </c>
      <c r="L289" s="31">
        <f t="shared" si="12"/>
        <v>0.70020000000000004</v>
      </c>
      <c r="M289" t="str">
        <f t="shared" si="13"/>
        <v>Low Value Product</v>
      </c>
      <c r="N289" t="str">
        <f t="shared" si="14"/>
        <v>Low Revenue Product</v>
      </c>
    </row>
    <row r="290" spans="1:14" x14ac:dyDescent="0.35">
      <c r="A290" s="15" t="s">
        <v>431</v>
      </c>
      <c r="B290" s="16" t="s">
        <v>198</v>
      </c>
      <c r="C290" s="16" t="s">
        <v>199</v>
      </c>
      <c r="D290" s="17">
        <v>100</v>
      </c>
      <c r="E290" s="18" t="s">
        <v>479</v>
      </c>
      <c r="F290" s="16">
        <v>151</v>
      </c>
      <c r="G290" s="16">
        <v>85444292</v>
      </c>
      <c r="H290" s="16" t="s">
        <v>200</v>
      </c>
      <c r="I290" s="27" t="s">
        <v>2</v>
      </c>
      <c r="J290" s="18">
        <v>4.3</v>
      </c>
      <c r="K290" s="33">
        <v>6.44</v>
      </c>
      <c r="L290" s="31">
        <f t="shared" si="12"/>
        <v>27.692</v>
      </c>
      <c r="M290" t="str">
        <f t="shared" si="13"/>
        <v>Low Value Product</v>
      </c>
      <c r="N290" t="str">
        <f t="shared" si="14"/>
        <v>Low Revenue Product</v>
      </c>
    </row>
    <row r="291" spans="1:14" x14ac:dyDescent="0.35">
      <c r="A291" s="19" t="s">
        <v>431</v>
      </c>
      <c r="B291" s="18" t="s">
        <v>370</v>
      </c>
      <c r="C291" s="18" t="s">
        <v>0</v>
      </c>
      <c r="D291" s="7">
        <v>826</v>
      </c>
      <c r="E291" s="18" t="s">
        <v>478</v>
      </c>
      <c r="F291" s="18">
        <v>154</v>
      </c>
      <c r="G291" s="18">
        <v>62149090</v>
      </c>
      <c r="H291" s="18" t="s">
        <v>492</v>
      </c>
      <c r="I291" s="28" t="s">
        <v>21</v>
      </c>
      <c r="J291" s="21">
        <v>5.43</v>
      </c>
      <c r="K291" s="34">
        <v>61.84</v>
      </c>
      <c r="L291" s="31">
        <f t="shared" si="12"/>
        <v>335.7912</v>
      </c>
      <c r="M291" t="str">
        <f t="shared" si="13"/>
        <v>Low Value Product</v>
      </c>
      <c r="N291" t="str">
        <f t="shared" si="14"/>
        <v>Low Revenue Product</v>
      </c>
    </row>
    <row r="292" spans="1:14" x14ac:dyDescent="0.35">
      <c r="A292" s="19" t="s">
        <v>432</v>
      </c>
      <c r="B292" s="18" t="s">
        <v>22</v>
      </c>
      <c r="C292" s="18" t="s">
        <v>23</v>
      </c>
      <c r="D292" s="7">
        <v>380</v>
      </c>
      <c r="E292" s="18" t="s">
        <v>477</v>
      </c>
      <c r="F292" s="18">
        <v>39</v>
      </c>
      <c r="G292" s="18">
        <v>87081010</v>
      </c>
      <c r="H292" s="18" t="s">
        <v>164</v>
      </c>
      <c r="I292" s="27" t="s">
        <v>2</v>
      </c>
      <c r="J292" s="18">
        <v>4.29</v>
      </c>
      <c r="K292" s="33">
        <v>12.92</v>
      </c>
      <c r="L292" s="31">
        <f t="shared" si="12"/>
        <v>55.4268</v>
      </c>
      <c r="M292" t="str">
        <f t="shared" si="13"/>
        <v>Low Value Product</v>
      </c>
      <c r="N292" t="str">
        <f t="shared" si="14"/>
        <v>Low Revenue Product</v>
      </c>
    </row>
    <row r="293" spans="1:14" x14ac:dyDescent="0.35">
      <c r="A293" s="20" t="s">
        <v>432</v>
      </c>
      <c r="B293" s="21" t="s">
        <v>11</v>
      </c>
      <c r="C293" s="21" t="s">
        <v>12</v>
      </c>
      <c r="D293" s="8">
        <v>643</v>
      </c>
      <c r="E293" s="18" t="s">
        <v>479</v>
      </c>
      <c r="F293" s="21">
        <v>151</v>
      </c>
      <c r="G293" s="21">
        <v>9042219</v>
      </c>
      <c r="H293" s="21" t="s">
        <v>299</v>
      </c>
      <c r="I293" s="28" t="s">
        <v>17</v>
      </c>
      <c r="J293" s="21">
        <v>4.1100000000000003</v>
      </c>
      <c r="K293" s="34">
        <v>4.3099999999999996</v>
      </c>
      <c r="L293" s="31">
        <f t="shared" si="12"/>
        <v>17.714099999999998</v>
      </c>
      <c r="M293" t="str">
        <f t="shared" si="13"/>
        <v>Low Value Product</v>
      </c>
      <c r="N293" t="str">
        <f t="shared" si="14"/>
        <v>Low Revenue Product</v>
      </c>
    </row>
    <row r="294" spans="1:14" x14ac:dyDescent="0.35">
      <c r="A294" s="15" t="s">
        <v>432</v>
      </c>
      <c r="B294" s="16" t="s">
        <v>55</v>
      </c>
      <c r="C294" s="16" t="s">
        <v>56</v>
      </c>
      <c r="D294" s="17">
        <v>276</v>
      </c>
      <c r="E294" s="18" t="s">
        <v>476</v>
      </c>
      <c r="F294" s="16">
        <v>155</v>
      </c>
      <c r="G294" s="16">
        <v>52122100</v>
      </c>
      <c r="H294" s="16" t="s">
        <v>619</v>
      </c>
      <c r="I294" s="27" t="s">
        <v>2</v>
      </c>
      <c r="J294" s="18">
        <v>0</v>
      </c>
      <c r="K294" s="33">
        <v>0.17</v>
      </c>
      <c r="L294" s="31">
        <f t="shared" si="12"/>
        <v>0</v>
      </c>
      <c r="M294" t="str">
        <f t="shared" si="13"/>
        <v>Low Value Product</v>
      </c>
      <c r="N294" t="str">
        <f t="shared" si="14"/>
        <v>Low Revenue Product</v>
      </c>
    </row>
    <row r="295" spans="1:14" x14ac:dyDescent="0.35">
      <c r="A295" s="19" t="s">
        <v>432</v>
      </c>
      <c r="B295" s="18" t="s">
        <v>315</v>
      </c>
      <c r="C295" s="18" t="s">
        <v>316</v>
      </c>
      <c r="D295" s="7">
        <v>428</v>
      </c>
      <c r="E295" s="18" t="s">
        <v>478</v>
      </c>
      <c r="F295" s="18">
        <v>154</v>
      </c>
      <c r="G295" s="18">
        <v>38220090</v>
      </c>
      <c r="H295" s="18" t="s">
        <v>10</v>
      </c>
      <c r="I295" s="28" t="s">
        <v>2</v>
      </c>
      <c r="J295" s="21">
        <v>44.39</v>
      </c>
      <c r="K295" s="34">
        <v>37.35</v>
      </c>
      <c r="L295" s="31">
        <f t="shared" si="12"/>
        <v>1657.9665</v>
      </c>
      <c r="M295" t="str">
        <f t="shared" si="13"/>
        <v>Low Value Product</v>
      </c>
      <c r="N295" t="str">
        <f t="shared" si="14"/>
        <v>Low Revenue Product</v>
      </c>
    </row>
    <row r="296" spans="1:14" x14ac:dyDescent="0.35">
      <c r="A296" s="15" t="s">
        <v>433</v>
      </c>
      <c r="B296" s="16" t="s">
        <v>62</v>
      </c>
      <c r="C296" s="16" t="s">
        <v>63</v>
      </c>
      <c r="D296" s="17">
        <v>752</v>
      </c>
      <c r="E296" s="18" t="s">
        <v>478</v>
      </c>
      <c r="F296" s="16">
        <v>154</v>
      </c>
      <c r="G296" s="16">
        <v>57024110</v>
      </c>
      <c r="H296" s="16" t="s">
        <v>232</v>
      </c>
      <c r="I296" s="27" t="s">
        <v>2</v>
      </c>
      <c r="J296" s="18">
        <v>14555</v>
      </c>
      <c r="K296" s="33">
        <v>0.32</v>
      </c>
      <c r="L296" s="31">
        <f t="shared" si="12"/>
        <v>4657.6000000000004</v>
      </c>
      <c r="M296" t="str">
        <f t="shared" si="13"/>
        <v>Low Value Product</v>
      </c>
      <c r="N296" t="str">
        <f t="shared" si="14"/>
        <v>Low Revenue Product</v>
      </c>
    </row>
    <row r="297" spans="1:14" x14ac:dyDescent="0.35">
      <c r="A297" s="20" t="s">
        <v>433</v>
      </c>
      <c r="B297" s="21" t="s">
        <v>55</v>
      </c>
      <c r="C297" s="21" t="s">
        <v>56</v>
      </c>
      <c r="D297" s="8">
        <v>276</v>
      </c>
      <c r="E297" s="18" t="s">
        <v>476</v>
      </c>
      <c r="F297" s="21">
        <v>155</v>
      </c>
      <c r="G297" s="21">
        <v>89071000</v>
      </c>
      <c r="H297" s="21" t="s">
        <v>296</v>
      </c>
      <c r="I297" s="28" t="s">
        <v>21</v>
      </c>
      <c r="J297" s="21">
        <v>2</v>
      </c>
      <c r="K297" s="34">
        <v>0.19</v>
      </c>
      <c r="L297" s="31">
        <f t="shared" si="12"/>
        <v>0.38</v>
      </c>
      <c r="M297" t="str">
        <f t="shared" si="13"/>
        <v>Low Value Product</v>
      </c>
      <c r="N297" t="str">
        <f t="shared" si="14"/>
        <v>Low Revenue Product</v>
      </c>
    </row>
    <row r="298" spans="1:14" x14ac:dyDescent="0.35">
      <c r="A298" s="19" t="s">
        <v>433</v>
      </c>
      <c r="B298" s="18" t="s">
        <v>22</v>
      </c>
      <c r="C298" s="18" t="s">
        <v>23</v>
      </c>
      <c r="D298" s="7">
        <v>380</v>
      </c>
      <c r="E298" s="18" t="s">
        <v>477</v>
      </c>
      <c r="F298" s="18">
        <v>39</v>
      </c>
      <c r="G298" s="18">
        <v>19059090</v>
      </c>
      <c r="H298" s="18" t="s">
        <v>588</v>
      </c>
      <c r="I298" s="27" t="s">
        <v>2</v>
      </c>
      <c r="J298" s="18">
        <v>4896</v>
      </c>
      <c r="K298" s="33">
        <v>0.09</v>
      </c>
      <c r="L298" s="31">
        <f t="shared" si="12"/>
        <v>440.64</v>
      </c>
      <c r="M298" t="str">
        <f t="shared" si="13"/>
        <v>Low Value Product</v>
      </c>
      <c r="N298" t="str">
        <f t="shared" si="14"/>
        <v>Low Revenue Product</v>
      </c>
    </row>
    <row r="299" spans="1:14" x14ac:dyDescent="0.35">
      <c r="A299" s="20" t="s">
        <v>433</v>
      </c>
      <c r="B299" s="21" t="s">
        <v>40</v>
      </c>
      <c r="C299" s="21" t="s">
        <v>41</v>
      </c>
      <c r="D299" s="8">
        <v>642</v>
      </c>
      <c r="E299" s="18" t="s">
        <v>479</v>
      </c>
      <c r="F299" s="21">
        <v>151</v>
      </c>
      <c r="G299" s="21">
        <v>84831099</v>
      </c>
      <c r="H299" s="21" t="s">
        <v>589</v>
      </c>
      <c r="I299" s="28" t="s">
        <v>17</v>
      </c>
      <c r="J299" s="21">
        <v>12</v>
      </c>
      <c r="K299" s="34">
        <v>0</v>
      </c>
      <c r="L299" s="31">
        <f t="shared" si="12"/>
        <v>0</v>
      </c>
      <c r="M299" t="str">
        <f t="shared" si="13"/>
        <v>Low Value Product</v>
      </c>
      <c r="N299" t="str">
        <f t="shared" si="14"/>
        <v>Low Revenue Product</v>
      </c>
    </row>
    <row r="300" spans="1:14" x14ac:dyDescent="0.35">
      <c r="A300" s="19" t="s">
        <v>433</v>
      </c>
      <c r="B300" s="18" t="s">
        <v>369</v>
      </c>
      <c r="C300" s="18" t="s">
        <v>3</v>
      </c>
      <c r="D300" s="7">
        <v>528</v>
      </c>
      <c r="E300" s="18" t="s">
        <v>476</v>
      </c>
      <c r="F300" s="18">
        <v>155</v>
      </c>
      <c r="G300" s="18">
        <v>29329990</v>
      </c>
      <c r="H300" s="18" t="s">
        <v>10</v>
      </c>
      <c r="I300" s="27" t="s">
        <v>2</v>
      </c>
      <c r="J300" s="18">
        <v>136206</v>
      </c>
      <c r="K300" s="33">
        <v>11.52</v>
      </c>
      <c r="L300" s="31">
        <f t="shared" si="12"/>
        <v>1569093.1199999999</v>
      </c>
      <c r="M300" t="str">
        <f t="shared" si="13"/>
        <v>Low Value Product</v>
      </c>
      <c r="N300" t="str">
        <f t="shared" si="14"/>
        <v>High Revenue Product</v>
      </c>
    </row>
    <row r="301" spans="1:14" x14ac:dyDescent="0.35">
      <c r="A301" s="19" t="s">
        <v>433</v>
      </c>
      <c r="B301" s="18" t="s">
        <v>370</v>
      </c>
      <c r="C301" s="18" t="s">
        <v>0</v>
      </c>
      <c r="D301" s="7">
        <v>826</v>
      </c>
      <c r="E301" s="18" t="s">
        <v>478</v>
      </c>
      <c r="F301" s="18">
        <v>154</v>
      </c>
      <c r="G301" s="18">
        <v>15089091</v>
      </c>
      <c r="H301" s="18" t="s">
        <v>620</v>
      </c>
      <c r="I301" s="28" t="s">
        <v>21</v>
      </c>
      <c r="J301" s="21">
        <v>100</v>
      </c>
      <c r="K301" s="34">
        <v>0.01</v>
      </c>
      <c r="L301" s="31">
        <f t="shared" si="12"/>
        <v>1</v>
      </c>
      <c r="M301" t="str">
        <f t="shared" si="13"/>
        <v>Low Value Product</v>
      </c>
      <c r="N301" t="str">
        <f t="shared" si="14"/>
        <v>Low Revenue Product</v>
      </c>
    </row>
    <row r="302" spans="1:14" x14ac:dyDescent="0.35">
      <c r="A302" s="19" t="s">
        <v>434</v>
      </c>
      <c r="B302" s="18" t="s">
        <v>60</v>
      </c>
      <c r="C302" s="18" t="s">
        <v>61</v>
      </c>
      <c r="D302" s="7">
        <v>724</v>
      </c>
      <c r="E302" s="18" t="s">
        <v>477</v>
      </c>
      <c r="F302" s="18">
        <v>39</v>
      </c>
      <c r="G302" s="18">
        <v>32041217</v>
      </c>
      <c r="H302" s="18" t="s">
        <v>272</v>
      </c>
      <c r="I302" s="27" t="s">
        <v>2</v>
      </c>
      <c r="J302" s="18">
        <v>248</v>
      </c>
      <c r="K302" s="33">
        <v>0</v>
      </c>
      <c r="L302" s="31">
        <f t="shared" si="12"/>
        <v>0</v>
      </c>
      <c r="M302" t="str">
        <f t="shared" si="13"/>
        <v>Low Value Product</v>
      </c>
      <c r="N302" t="str">
        <f t="shared" si="14"/>
        <v>Low Revenue Product</v>
      </c>
    </row>
    <row r="303" spans="1:14" x14ac:dyDescent="0.35">
      <c r="A303" s="19" t="s">
        <v>434</v>
      </c>
      <c r="B303" s="18" t="s">
        <v>22</v>
      </c>
      <c r="C303" s="18" t="s">
        <v>23</v>
      </c>
      <c r="D303" s="7">
        <v>380</v>
      </c>
      <c r="E303" s="18" t="s">
        <v>477</v>
      </c>
      <c r="F303" s="18">
        <v>39</v>
      </c>
      <c r="G303" s="18">
        <v>96063010</v>
      </c>
      <c r="H303" s="18" t="s">
        <v>303</v>
      </c>
      <c r="I303" s="28" t="s">
        <v>21</v>
      </c>
      <c r="J303" s="21">
        <v>6</v>
      </c>
      <c r="K303" s="34">
        <v>0</v>
      </c>
      <c r="L303" s="31">
        <f t="shared" si="12"/>
        <v>0</v>
      </c>
      <c r="M303" t="str">
        <f t="shared" si="13"/>
        <v>Low Value Product</v>
      </c>
      <c r="N303" t="str">
        <f t="shared" si="14"/>
        <v>Low Revenue Product</v>
      </c>
    </row>
    <row r="304" spans="1:14" x14ac:dyDescent="0.35">
      <c r="A304" s="19" t="s">
        <v>434</v>
      </c>
      <c r="B304" s="18" t="s">
        <v>198</v>
      </c>
      <c r="C304" s="18" t="s">
        <v>199</v>
      </c>
      <c r="D304" s="7">
        <v>100</v>
      </c>
      <c r="E304" s="18" t="s">
        <v>479</v>
      </c>
      <c r="F304" s="18">
        <v>151</v>
      </c>
      <c r="G304" s="18">
        <v>90183920</v>
      </c>
      <c r="H304" s="18" t="s">
        <v>196</v>
      </c>
      <c r="I304" s="27" t="s">
        <v>2</v>
      </c>
      <c r="J304" s="18">
        <v>57</v>
      </c>
      <c r="K304" s="33">
        <v>0.01</v>
      </c>
      <c r="L304" s="31">
        <f t="shared" si="12"/>
        <v>0.57000000000000006</v>
      </c>
      <c r="M304" t="str">
        <f t="shared" si="13"/>
        <v>Low Value Product</v>
      </c>
      <c r="N304" t="str">
        <f t="shared" si="14"/>
        <v>Low Revenue Product</v>
      </c>
    </row>
    <row r="305" spans="1:14" x14ac:dyDescent="0.35">
      <c r="A305" s="20" t="s">
        <v>434</v>
      </c>
      <c r="B305" s="21" t="s">
        <v>293</v>
      </c>
      <c r="C305" s="21" t="s">
        <v>294</v>
      </c>
      <c r="D305" s="8">
        <v>203</v>
      </c>
      <c r="E305" s="18" t="s">
        <v>479</v>
      </c>
      <c r="F305" s="21">
        <v>151</v>
      </c>
      <c r="G305" s="21">
        <v>82041120</v>
      </c>
      <c r="H305" s="21" t="s">
        <v>590</v>
      </c>
      <c r="I305" s="28" t="s">
        <v>2</v>
      </c>
      <c r="J305" s="21">
        <v>2</v>
      </c>
      <c r="K305" s="34">
        <v>0</v>
      </c>
      <c r="L305" s="31">
        <f t="shared" si="12"/>
        <v>0</v>
      </c>
      <c r="M305" t="str">
        <f t="shared" si="13"/>
        <v>Low Value Product</v>
      </c>
      <c r="N305" t="str">
        <f t="shared" si="14"/>
        <v>Low Revenue Product</v>
      </c>
    </row>
    <row r="306" spans="1:14" x14ac:dyDescent="0.35">
      <c r="A306" s="15" t="s">
        <v>434</v>
      </c>
      <c r="B306" s="16" t="s">
        <v>11</v>
      </c>
      <c r="C306" s="16" t="s">
        <v>12</v>
      </c>
      <c r="D306" s="17">
        <v>643</v>
      </c>
      <c r="E306" s="18" t="s">
        <v>479</v>
      </c>
      <c r="F306" s="16">
        <v>151</v>
      </c>
      <c r="G306" s="16">
        <v>98020000</v>
      </c>
      <c r="H306" s="16" t="s">
        <v>241</v>
      </c>
      <c r="I306" s="27" t="s">
        <v>2</v>
      </c>
      <c r="J306" s="18">
        <v>124000</v>
      </c>
      <c r="K306" s="33">
        <v>5.49</v>
      </c>
      <c r="L306" s="31">
        <f t="shared" si="12"/>
        <v>680760</v>
      </c>
      <c r="M306" t="str">
        <f t="shared" si="13"/>
        <v>Low Value Product</v>
      </c>
      <c r="N306" t="str">
        <f t="shared" si="14"/>
        <v>High Revenue Product</v>
      </c>
    </row>
    <row r="307" spans="1:14" x14ac:dyDescent="0.35">
      <c r="A307" s="20" t="s">
        <v>434</v>
      </c>
      <c r="B307" s="21" t="s">
        <v>51</v>
      </c>
      <c r="C307" s="21" t="s">
        <v>52</v>
      </c>
      <c r="D307" s="8">
        <v>616</v>
      </c>
      <c r="E307" s="18" t="s">
        <v>479</v>
      </c>
      <c r="F307" s="21">
        <v>151</v>
      </c>
      <c r="G307" s="21">
        <v>87113020</v>
      </c>
      <c r="H307" s="21" t="s">
        <v>591</v>
      </c>
      <c r="I307" s="28" t="s">
        <v>2</v>
      </c>
      <c r="J307" s="21">
        <v>500</v>
      </c>
      <c r="K307" s="34">
        <v>0.1</v>
      </c>
      <c r="L307" s="31">
        <f t="shared" si="12"/>
        <v>50</v>
      </c>
      <c r="M307" t="str">
        <f t="shared" si="13"/>
        <v>Low Value Product</v>
      </c>
      <c r="N307" t="str">
        <f t="shared" si="14"/>
        <v>Low Revenue Product</v>
      </c>
    </row>
    <row r="308" spans="1:14" x14ac:dyDescent="0.35">
      <c r="A308" s="19" t="s">
        <v>434</v>
      </c>
      <c r="B308" s="18" t="s">
        <v>370</v>
      </c>
      <c r="C308" s="18" t="s">
        <v>0</v>
      </c>
      <c r="D308" s="7">
        <v>826</v>
      </c>
      <c r="E308" s="18" t="s">
        <v>478</v>
      </c>
      <c r="F308" s="18">
        <v>154</v>
      </c>
      <c r="G308" s="18">
        <v>39259010</v>
      </c>
      <c r="H308" s="18" t="s">
        <v>512</v>
      </c>
      <c r="I308" s="27" t="s">
        <v>21</v>
      </c>
      <c r="J308" s="18">
        <v>870</v>
      </c>
      <c r="K308" s="33">
        <v>0.53</v>
      </c>
      <c r="L308" s="31">
        <f t="shared" si="12"/>
        <v>461.1</v>
      </c>
      <c r="M308" t="str">
        <f t="shared" si="13"/>
        <v>Low Value Product</v>
      </c>
      <c r="N308" t="str">
        <f t="shared" si="14"/>
        <v>Low Revenue Product</v>
      </c>
    </row>
    <row r="309" spans="1:14" x14ac:dyDescent="0.35">
      <c r="A309" s="19" t="s">
        <v>434</v>
      </c>
      <c r="B309" s="18" t="s">
        <v>125</v>
      </c>
      <c r="C309" s="18" t="s">
        <v>126</v>
      </c>
      <c r="D309" s="7">
        <v>372</v>
      </c>
      <c r="E309" s="18" t="s">
        <v>478</v>
      </c>
      <c r="F309" s="18">
        <v>154</v>
      </c>
      <c r="G309" s="18">
        <v>85469090</v>
      </c>
      <c r="H309" s="18" t="s">
        <v>592</v>
      </c>
      <c r="I309" s="28" t="s">
        <v>2</v>
      </c>
      <c r="J309" s="21">
        <v>508</v>
      </c>
      <c r="K309" s="34">
        <v>3.36</v>
      </c>
      <c r="L309" s="31">
        <f t="shared" si="12"/>
        <v>1706.8799999999999</v>
      </c>
      <c r="M309" t="str">
        <f t="shared" si="13"/>
        <v>Low Value Product</v>
      </c>
      <c r="N309" t="str">
        <f t="shared" si="14"/>
        <v>Low Revenue Product</v>
      </c>
    </row>
    <row r="310" spans="1:14" x14ac:dyDescent="0.35">
      <c r="A310" s="15" t="s">
        <v>434</v>
      </c>
      <c r="B310" s="16" t="s">
        <v>48</v>
      </c>
      <c r="C310" s="16" t="s">
        <v>49</v>
      </c>
      <c r="D310" s="17">
        <v>246</v>
      </c>
      <c r="E310" s="18" t="s">
        <v>478</v>
      </c>
      <c r="F310" s="16">
        <v>154</v>
      </c>
      <c r="G310" s="16">
        <v>62045919</v>
      </c>
      <c r="H310" s="16" t="s">
        <v>10</v>
      </c>
      <c r="I310" s="27" t="s">
        <v>2</v>
      </c>
      <c r="J310" s="18">
        <v>18608</v>
      </c>
      <c r="K310" s="33">
        <v>0.3</v>
      </c>
      <c r="L310" s="31">
        <f t="shared" si="12"/>
        <v>5582.4</v>
      </c>
      <c r="M310" t="str">
        <f t="shared" si="13"/>
        <v>Low Value Product</v>
      </c>
      <c r="N310" t="str">
        <f t="shared" si="14"/>
        <v>Low Revenue Product</v>
      </c>
    </row>
    <row r="311" spans="1:14" x14ac:dyDescent="0.35">
      <c r="A311" s="20" t="s">
        <v>434</v>
      </c>
      <c r="B311" s="21" t="s">
        <v>55</v>
      </c>
      <c r="C311" s="21" t="s">
        <v>56</v>
      </c>
      <c r="D311" s="8">
        <v>276</v>
      </c>
      <c r="E311" s="18" t="s">
        <v>476</v>
      </c>
      <c r="F311" s="21">
        <v>155</v>
      </c>
      <c r="G311" s="21">
        <v>90049090</v>
      </c>
      <c r="H311" s="21" t="s">
        <v>10</v>
      </c>
      <c r="I311" s="28" t="s">
        <v>21</v>
      </c>
      <c r="J311" s="21">
        <v>48</v>
      </c>
      <c r="K311" s="34">
        <v>1.33</v>
      </c>
      <c r="L311" s="31">
        <f t="shared" si="12"/>
        <v>63.84</v>
      </c>
      <c r="M311" t="str">
        <f t="shared" si="13"/>
        <v>Low Value Product</v>
      </c>
      <c r="N311" t="str">
        <f t="shared" si="14"/>
        <v>Low Revenue Product</v>
      </c>
    </row>
    <row r="312" spans="1:14" x14ac:dyDescent="0.35">
      <c r="A312" s="19" t="s">
        <v>434</v>
      </c>
      <c r="B312" s="18" t="s">
        <v>75</v>
      </c>
      <c r="C312" s="18" t="s">
        <v>76</v>
      </c>
      <c r="D312" s="7">
        <v>578</v>
      </c>
      <c r="E312" s="18" t="s">
        <v>478</v>
      </c>
      <c r="F312" s="18">
        <v>154</v>
      </c>
      <c r="G312" s="18">
        <v>8109030</v>
      </c>
      <c r="H312" s="18" t="s">
        <v>77</v>
      </c>
      <c r="I312" s="27" t="s">
        <v>2</v>
      </c>
      <c r="J312" s="18">
        <v>10461</v>
      </c>
      <c r="K312" s="33">
        <v>2.96</v>
      </c>
      <c r="L312" s="31">
        <f t="shared" si="12"/>
        <v>30964.560000000001</v>
      </c>
      <c r="M312" t="str">
        <f t="shared" si="13"/>
        <v>Low Value Product</v>
      </c>
      <c r="N312" t="str">
        <f t="shared" si="14"/>
        <v>Low Revenue Product</v>
      </c>
    </row>
    <row r="313" spans="1:14" x14ac:dyDescent="0.35">
      <c r="A313" s="20" t="s">
        <v>434</v>
      </c>
      <c r="B313" s="21" t="s">
        <v>369</v>
      </c>
      <c r="C313" s="21" t="s">
        <v>3</v>
      </c>
      <c r="D313" s="8">
        <v>528</v>
      </c>
      <c r="E313" s="18" t="s">
        <v>476</v>
      </c>
      <c r="F313" s="21">
        <v>155</v>
      </c>
      <c r="G313" s="21">
        <v>32041561</v>
      </c>
      <c r="H313" s="21" t="s">
        <v>251</v>
      </c>
      <c r="I313" s="28" t="s">
        <v>21</v>
      </c>
      <c r="J313" s="21">
        <v>7865</v>
      </c>
      <c r="K313" s="34">
        <v>0.22</v>
      </c>
      <c r="L313" s="31">
        <f t="shared" si="12"/>
        <v>1730.3</v>
      </c>
      <c r="M313" t="str">
        <f t="shared" si="13"/>
        <v>Low Value Product</v>
      </c>
      <c r="N313" t="str">
        <f t="shared" si="14"/>
        <v>Low Revenue Product</v>
      </c>
    </row>
    <row r="314" spans="1:14" x14ac:dyDescent="0.35">
      <c r="A314" s="19" t="s">
        <v>435</v>
      </c>
      <c r="B314" s="18" t="s">
        <v>18</v>
      </c>
      <c r="C314" s="18" t="s">
        <v>19</v>
      </c>
      <c r="D314" s="7">
        <v>620</v>
      </c>
      <c r="E314" s="18" t="s">
        <v>477</v>
      </c>
      <c r="F314" s="18">
        <v>39</v>
      </c>
      <c r="G314" s="18">
        <v>84248200</v>
      </c>
      <c r="H314" s="18" t="s">
        <v>593</v>
      </c>
      <c r="I314" s="27" t="s">
        <v>2</v>
      </c>
      <c r="J314" s="18">
        <v>1998</v>
      </c>
      <c r="K314" s="33">
        <v>314.14999999999998</v>
      </c>
      <c r="L314" s="31">
        <f t="shared" si="12"/>
        <v>627671.69999999995</v>
      </c>
      <c r="M314" t="str">
        <f t="shared" si="13"/>
        <v>Low Value Product</v>
      </c>
      <c r="N314" t="str">
        <f t="shared" si="14"/>
        <v>High Revenue Product</v>
      </c>
    </row>
    <row r="315" spans="1:14" x14ac:dyDescent="0.35">
      <c r="A315" s="19" t="s">
        <v>435</v>
      </c>
      <c r="B315" s="18" t="s">
        <v>62</v>
      </c>
      <c r="C315" s="18" t="s">
        <v>63</v>
      </c>
      <c r="D315" s="7">
        <v>752</v>
      </c>
      <c r="E315" s="18" t="s">
        <v>478</v>
      </c>
      <c r="F315" s="18">
        <v>154</v>
      </c>
      <c r="G315" s="18">
        <v>39235010</v>
      </c>
      <c r="H315" s="18" t="s">
        <v>69</v>
      </c>
      <c r="I315" s="28" t="s">
        <v>2</v>
      </c>
      <c r="J315" s="21">
        <v>0.18</v>
      </c>
      <c r="K315" s="34">
        <v>0.92</v>
      </c>
      <c r="L315" s="31">
        <f t="shared" si="12"/>
        <v>0.1656</v>
      </c>
      <c r="M315" t="str">
        <f t="shared" si="13"/>
        <v>Low Value Product</v>
      </c>
      <c r="N315" t="str">
        <f t="shared" si="14"/>
        <v>Low Revenue Product</v>
      </c>
    </row>
    <row r="316" spans="1:14" x14ac:dyDescent="0.35">
      <c r="A316" s="15" t="s">
        <v>435</v>
      </c>
      <c r="B316" s="16" t="s">
        <v>38</v>
      </c>
      <c r="C316" s="16" t="s">
        <v>39</v>
      </c>
      <c r="D316" s="17">
        <v>703</v>
      </c>
      <c r="E316" s="18" t="s">
        <v>479</v>
      </c>
      <c r="F316" s="16">
        <v>151</v>
      </c>
      <c r="G316" s="16">
        <v>76109010</v>
      </c>
      <c r="H316" s="16" t="s">
        <v>257</v>
      </c>
      <c r="I316" s="27" t="s">
        <v>2</v>
      </c>
      <c r="J316" s="18">
        <v>1.07</v>
      </c>
      <c r="K316" s="33">
        <v>18.61</v>
      </c>
      <c r="L316" s="31">
        <f t="shared" si="12"/>
        <v>19.912700000000001</v>
      </c>
      <c r="M316" t="str">
        <f t="shared" si="13"/>
        <v>Low Value Product</v>
      </c>
      <c r="N316" t="str">
        <f t="shared" si="14"/>
        <v>Low Revenue Product</v>
      </c>
    </row>
    <row r="317" spans="1:14" x14ac:dyDescent="0.35">
      <c r="A317" s="20" t="s">
        <v>435</v>
      </c>
      <c r="B317" s="21" t="s">
        <v>218</v>
      </c>
      <c r="C317" s="21" t="s">
        <v>219</v>
      </c>
      <c r="D317" s="8">
        <v>8</v>
      </c>
      <c r="E317" s="18" t="s">
        <v>477</v>
      </c>
      <c r="F317" s="21">
        <v>39</v>
      </c>
      <c r="G317" s="21">
        <v>85122010</v>
      </c>
      <c r="H317" s="21" t="s">
        <v>220</v>
      </c>
      <c r="I317" s="28" t="s">
        <v>2</v>
      </c>
      <c r="J317" s="21">
        <v>0.14000000000000001</v>
      </c>
      <c r="K317" s="34">
        <v>3.69</v>
      </c>
      <c r="L317" s="31">
        <f t="shared" si="12"/>
        <v>0.51660000000000006</v>
      </c>
      <c r="M317" t="str">
        <f t="shared" si="13"/>
        <v>Low Value Product</v>
      </c>
      <c r="N317" t="str">
        <f t="shared" si="14"/>
        <v>Low Revenue Product</v>
      </c>
    </row>
    <row r="318" spans="1:14" x14ac:dyDescent="0.35">
      <c r="A318" s="19" t="s">
        <v>435</v>
      </c>
      <c r="B318" s="18" t="s">
        <v>75</v>
      </c>
      <c r="C318" s="18" t="s">
        <v>76</v>
      </c>
      <c r="D318" s="7">
        <v>578</v>
      </c>
      <c r="E318" s="18" t="s">
        <v>478</v>
      </c>
      <c r="F318" s="18">
        <v>154</v>
      </c>
      <c r="G318" s="18">
        <v>8045040</v>
      </c>
      <c r="H318" s="18" t="s">
        <v>360</v>
      </c>
      <c r="I318" s="27" t="s">
        <v>2</v>
      </c>
      <c r="J318" s="18">
        <v>30.97</v>
      </c>
      <c r="K318" s="33">
        <v>170</v>
      </c>
      <c r="L318" s="31">
        <f t="shared" si="12"/>
        <v>5264.9</v>
      </c>
      <c r="M318" t="str">
        <f t="shared" si="13"/>
        <v>Low Value Product</v>
      </c>
      <c r="N318" t="str">
        <f t="shared" si="14"/>
        <v>Low Revenue Product</v>
      </c>
    </row>
    <row r="319" spans="1:14" x14ac:dyDescent="0.35">
      <c r="A319" s="19" t="s">
        <v>435</v>
      </c>
      <c r="B319" s="18" t="s">
        <v>55</v>
      </c>
      <c r="C319" s="18" t="s">
        <v>56</v>
      </c>
      <c r="D319" s="7">
        <v>276</v>
      </c>
      <c r="E319" s="18" t="s">
        <v>476</v>
      </c>
      <c r="F319" s="18">
        <v>155</v>
      </c>
      <c r="G319" s="18">
        <v>84139110</v>
      </c>
      <c r="H319" s="18" t="s">
        <v>340</v>
      </c>
      <c r="I319" s="28" t="s">
        <v>21</v>
      </c>
      <c r="J319" s="21">
        <v>0.5</v>
      </c>
      <c r="K319" s="34">
        <v>0.89</v>
      </c>
      <c r="L319" s="31">
        <f t="shared" si="12"/>
        <v>0.44500000000000001</v>
      </c>
      <c r="M319" t="str">
        <f t="shared" si="13"/>
        <v>Low Value Product</v>
      </c>
      <c r="N319" t="str">
        <f t="shared" si="14"/>
        <v>Low Revenue Product</v>
      </c>
    </row>
    <row r="320" spans="1:14" x14ac:dyDescent="0.35">
      <c r="A320" s="15" t="s">
        <v>435</v>
      </c>
      <c r="B320" s="16" t="s">
        <v>18</v>
      </c>
      <c r="C320" s="16" t="s">
        <v>19</v>
      </c>
      <c r="D320" s="17">
        <v>620</v>
      </c>
      <c r="E320" s="18" t="s">
        <v>477</v>
      </c>
      <c r="F320" s="16">
        <v>39</v>
      </c>
      <c r="G320" s="16">
        <v>32041740</v>
      </c>
      <c r="H320" s="16" t="s">
        <v>248</v>
      </c>
      <c r="I320" s="27" t="s">
        <v>2</v>
      </c>
      <c r="J320" s="18">
        <v>0.86</v>
      </c>
      <c r="K320" s="33">
        <v>0.99</v>
      </c>
      <c r="L320" s="31">
        <f t="shared" si="12"/>
        <v>0.85139999999999993</v>
      </c>
      <c r="M320" t="str">
        <f t="shared" si="13"/>
        <v>Low Value Product</v>
      </c>
      <c r="N320" t="str">
        <f t="shared" si="14"/>
        <v>Low Revenue Product</v>
      </c>
    </row>
    <row r="321" spans="1:14" x14ac:dyDescent="0.35">
      <c r="A321" s="20" t="s">
        <v>435</v>
      </c>
      <c r="B321" s="21" t="s">
        <v>22</v>
      </c>
      <c r="C321" s="21" t="s">
        <v>23</v>
      </c>
      <c r="D321" s="8">
        <v>380</v>
      </c>
      <c r="E321" s="18" t="s">
        <v>477</v>
      </c>
      <c r="F321" s="21">
        <v>39</v>
      </c>
      <c r="G321" s="21">
        <v>9109939</v>
      </c>
      <c r="H321" s="21" t="s">
        <v>231</v>
      </c>
      <c r="I321" s="28" t="s">
        <v>2</v>
      </c>
      <c r="J321" s="21">
        <v>6.96</v>
      </c>
      <c r="K321" s="34">
        <v>222.89</v>
      </c>
      <c r="L321" s="31">
        <f t="shared" si="12"/>
        <v>1551.3144</v>
      </c>
      <c r="M321" t="str">
        <f t="shared" si="13"/>
        <v>Low Value Product</v>
      </c>
      <c r="N321" t="str">
        <f t="shared" si="14"/>
        <v>Low Revenue Product</v>
      </c>
    </row>
    <row r="322" spans="1:14" x14ac:dyDescent="0.35">
      <c r="A322" s="19" t="s">
        <v>435</v>
      </c>
      <c r="B322" s="18" t="s">
        <v>100</v>
      </c>
      <c r="C322" s="18" t="s">
        <v>101</v>
      </c>
      <c r="D322" s="7">
        <v>705</v>
      </c>
      <c r="E322" s="18" t="s">
        <v>477</v>
      </c>
      <c r="F322" s="18">
        <v>39</v>
      </c>
      <c r="G322" s="18">
        <v>25261020</v>
      </c>
      <c r="H322" s="18" t="s">
        <v>102</v>
      </c>
      <c r="I322" s="27" t="s">
        <v>21</v>
      </c>
      <c r="J322" s="18">
        <v>1.71</v>
      </c>
      <c r="K322" s="33">
        <v>18.600000000000001</v>
      </c>
      <c r="L322" s="31">
        <f t="shared" si="12"/>
        <v>31.806000000000001</v>
      </c>
      <c r="M322" t="str">
        <f t="shared" si="13"/>
        <v>Low Value Product</v>
      </c>
      <c r="N322" t="str">
        <f t="shared" si="14"/>
        <v>Low Revenue Product</v>
      </c>
    </row>
    <row r="323" spans="1:14" x14ac:dyDescent="0.35">
      <c r="A323" s="20" t="s">
        <v>435</v>
      </c>
      <c r="B323" s="21" t="s">
        <v>22</v>
      </c>
      <c r="C323" s="21" t="s">
        <v>23</v>
      </c>
      <c r="D323" s="8">
        <v>380</v>
      </c>
      <c r="E323" s="18" t="s">
        <v>477</v>
      </c>
      <c r="F323" s="21">
        <v>39</v>
      </c>
      <c r="G323" s="21">
        <v>39172990</v>
      </c>
      <c r="H323" s="21" t="s">
        <v>594</v>
      </c>
      <c r="I323" s="28" t="s">
        <v>2</v>
      </c>
      <c r="J323" s="21">
        <v>43.47</v>
      </c>
      <c r="K323" s="34">
        <v>305.04000000000002</v>
      </c>
      <c r="L323" s="31">
        <f t="shared" ref="L323:L386" si="15">J323*K323</f>
        <v>13260.088800000001</v>
      </c>
      <c r="M323" t="str">
        <f t="shared" ref="M323:M386" si="16">IF(K323&lt;=1000,"Low Value Product",IF(K323&lt;=2000,"Moderate Value Product","High Value Product"))</f>
        <v>Low Value Product</v>
      </c>
      <c r="N323" t="str">
        <f t="shared" ref="N323:N386" si="17">IF(L323&lt;50000,"Low Revenue Product",IF(L323&lt;100000,"Medium Revenue Product","High Revenue Product"))</f>
        <v>Low Revenue Product</v>
      </c>
    </row>
    <row r="324" spans="1:14" x14ac:dyDescent="0.35">
      <c r="A324" s="15" t="s">
        <v>436</v>
      </c>
      <c r="B324" s="16" t="s">
        <v>60</v>
      </c>
      <c r="C324" s="16" t="s">
        <v>61</v>
      </c>
      <c r="D324" s="17">
        <v>724</v>
      </c>
      <c r="E324" s="18" t="s">
        <v>477</v>
      </c>
      <c r="F324" s="16">
        <v>39</v>
      </c>
      <c r="G324" s="16">
        <v>29142950</v>
      </c>
      <c r="H324" s="16" t="s">
        <v>119</v>
      </c>
      <c r="I324" s="27" t="s">
        <v>21</v>
      </c>
      <c r="J324" s="18">
        <v>5.88</v>
      </c>
      <c r="K324" s="33">
        <v>33.229999999999997</v>
      </c>
      <c r="L324" s="31">
        <f t="shared" si="15"/>
        <v>195.39239999999998</v>
      </c>
      <c r="M324" t="str">
        <f t="shared" si="16"/>
        <v>Low Value Product</v>
      </c>
      <c r="N324" t="str">
        <f t="shared" si="17"/>
        <v>Low Revenue Product</v>
      </c>
    </row>
    <row r="325" spans="1:14" x14ac:dyDescent="0.35">
      <c r="A325" s="20" t="s">
        <v>436</v>
      </c>
      <c r="B325" s="21" t="s">
        <v>5</v>
      </c>
      <c r="C325" s="21" t="s">
        <v>6</v>
      </c>
      <c r="D325" s="8">
        <v>756</v>
      </c>
      <c r="E325" s="18" t="s">
        <v>476</v>
      </c>
      <c r="F325" s="21">
        <v>155</v>
      </c>
      <c r="G325" s="21">
        <v>20011000</v>
      </c>
      <c r="H325" s="21" t="s">
        <v>541</v>
      </c>
      <c r="I325" s="28" t="s">
        <v>2</v>
      </c>
      <c r="J325" s="21">
        <v>60</v>
      </c>
      <c r="K325" s="34">
        <v>51.88</v>
      </c>
      <c r="L325" s="31">
        <f t="shared" si="15"/>
        <v>3112.8</v>
      </c>
      <c r="M325" t="str">
        <f t="shared" si="16"/>
        <v>Low Value Product</v>
      </c>
      <c r="N325" t="str">
        <f t="shared" si="17"/>
        <v>Low Revenue Product</v>
      </c>
    </row>
    <row r="326" spans="1:14" x14ac:dyDescent="0.35">
      <c r="A326" s="19" t="s">
        <v>436</v>
      </c>
      <c r="B326" s="18" t="s">
        <v>25</v>
      </c>
      <c r="C326" s="18" t="s">
        <v>26</v>
      </c>
      <c r="D326" s="7">
        <v>688</v>
      </c>
      <c r="E326" s="18" t="s">
        <v>477</v>
      </c>
      <c r="F326" s="18">
        <v>39</v>
      </c>
      <c r="G326" s="18">
        <v>12074090</v>
      </c>
      <c r="H326" s="18" t="s">
        <v>27</v>
      </c>
      <c r="I326" s="27" t="s">
        <v>2</v>
      </c>
      <c r="J326" s="18">
        <v>8.44</v>
      </c>
      <c r="K326" s="33">
        <v>126.91</v>
      </c>
      <c r="L326" s="31">
        <f t="shared" si="15"/>
        <v>1071.1204</v>
      </c>
      <c r="M326" t="str">
        <f t="shared" si="16"/>
        <v>Low Value Product</v>
      </c>
      <c r="N326" t="str">
        <f t="shared" si="17"/>
        <v>Low Revenue Product</v>
      </c>
    </row>
    <row r="327" spans="1:14" x14ac:dyDescent="0.35">
      <c r="A327" s="19" t="s">
        <v>436</v>
      </c>
      <c r="B327" s="18" t="s">
        <v>369</v>
      </c>
      <c r="C327" s="18" t="s">
        <v>3</v>
      </c>
      <c r="D327" s="7">
        <v>528</v>
      </c>
      <c r="E327" s="18" t="s">
        <v>476</v>
      </c>
      <c r="F327" s="18">
        <v>155</v>
      </c>
      <c r="G327" s="18">
        <v>68042190</v>
      </c>
      <c r="H327" s="18" t="s">
        <v>106</v>
      </c>
      <c r="I327" s="28" t="s">
        <v>2</v>
      </c>
      <c r="J327" s="21">
        <v>17.72</v>
      </c>
      <c r="K327" s="34">
        <v>96.88</v>
      </c>
      <c r="L327" s="31">
        <f t="shared" si="15"/>
        <v>1716.7135999999998</v>
      </c>
      <c r="M327" t="str">
        <f t="shared" si="16"/>
        <v>Low Value Product</v>
      </c>
      <c r="N327" t="str">
        <f t="shared" si="17"/>
        <v>Low Revenue Product</v>
      </c>
    </row>
    <row r="328" spans="1:14" x14ac:dyDescent="0.35">
      <c r="A328" s="19" t="s">
        <v>436</v>
      </c>
      <c r="B328" s="18" t="s">
        <v>22</v>
      </c>
      <c r="C328" s="18" t="s">
        <v>23</v>
      </c>
      <c r="D328" s="7">
        <v>380</v>
      </c>
      <c r="E328" s="18" t="s">
        <v>477</v>
      </c>
      <c r="F328" s="18">
        <v>39</v>
      </c>
      <c r="G328" s="18">
        <v>42023120</v>
      </c>
      <c r="H328" s="18" t="s">
        <v>344</v>
      </c>
      <c r="I328" s="27" t="s">
        <v>2</v>
      </c>
      <c r="J328" s="18">
        <v>54.75</v>
      </c>
      <c r="K328" s="33">
        <v>66.930000000000007</v>
      </c>
      <c r="L328" s="31">
        <f t="shared" si="15"/>
        <v>3664.4175000000005</v>
      </c>
      <c r="M328" t="str">
        <f t="shared" si="16"/>
        <v>Low Value Product</v>
      </c>
      <c r="N328" t="str">
        <f t="shared" si="17"/>
        <v>Low Revenue Product</v>
      </c>
    </row>
    <row r="329" spans="1:14" x14ac:dyDescent="0.35">
      <c r="A329" s="20" t="s">
        <v>437</v>
      </c>
      <c r="B329" s="21" t="s">
        <v>86</v>
      </c>
      <c r="C329" s="21" t="s">
        <v>87</v>
      </c>
      <c r="D329" s="8">
        <v>40</v>
      </c>
      <c r="E329" s="18" t="s">
        <v>476</v>
      </c>
      <c r="F329" s="21">
        <v>155</v>
      </c>
      <c r="G329" s="21">
        <v>85469010</v>
      </c>
      <c r="H329" s="21" t="s">
        <v>129</v>
      </c>
      <c r="I329" s="28" t="s">
        <v>2</v>
      </c>
      <c r="J329" s="21">
        <v>55</v>
      </c>
      <c r="K329" s="34">
        <v>67.33</v>
      </c>
      <c r="L329" s="31">
        <f t="shared" si="15"/>
        <v>3703.15</v>
      </c>
      <c r="M329" t="str">
        <f t="shared" si="16"/>
        <v>Low Value Product</v>
      </c>
      <c r="N329" t="str">
        <f t="shared" si="17"/>
        <v>Low Revenue Product</v>
      </c>
    </row>
    <row r="330" spans="1:14" x14ac:dyDescent="0.35">
      <c r="A330" s="19" t="s">
        <v>437</v>
      </c>
      <c r="B330" s="18" t="s">
        <v>78</v>
      </c>
      <c r="C330" s="18" t="s">
        <v>79</v>
      </c>
      <c r="D330" s="7">
        <v>208</v>
      </c>
      <c r="E330" s="18" t="s">
        <v>478</v>
      </c>
      <c r="F330" s="18">
        <v>154</v>
      </c>
      <c r="G330" s="18">
        <v>46021100</v>
      </c>
      <c r="H330" s="18" t="s">
        <v>286</v>
      </c>
      <c r="I330" s="27" t="s">
        <v>2</v>
      </c>
      <c r="J330" s="18">
        <v>1.1399999999999999</v>
      </c>
      <c r="K330" s="33">
        <v>7.74</v>
      </c>
      <c r="L330" s="31">
        <f t="shared" si="15"/>
        <v>8.823599999999999</v>
      </c>
      <c r="M330" t="str">
        <f t="shared" si="16"/>
        <v>Low Value Product</v>
      </c>
      <c r="N330" t="str">
        <f t="shared" si="17"/>
        <v>Low Revenue Product</v>
      </c>
    </row>
    <row r="331" spans="1:14" x14ac:dyDescent="0.35">
      <c r="A331" s="20" t="s">
        <v>437</v>
      </c>
      <c r="B331" s="21" t="s">
        <v>370</v>
      </c>
      <c r="C331" s="21" t="s">
        <v>0</v>
      </c>
      <c r="D331" s="8">
        <v>826</v>
      </c>
      <c r="E331" s="18" t="s">
        <v>478</v>
      </c>
      <c r="F331" s="21">
        <v>154</v>
      </c>
      <c r="G331" s="21">
        <v>64032029</v>
      </c>
      <c r="H331" s="21" t="s">
        <v>595</v>
      </c>
      <c r="I331" s="28" t="s">
        <v>2</v>
      </c>
      <c r="J331" s="21">
        <v>0.22</v>
      </c>
      <c r="K331" s="34">
        <v>1.94</v>
      </c>
      <c r="L331" s="31">
        <f t="shared" si="15"/>
        <v>0.42680000000000001</v>
      </c>
      <c r="M331" t="str">
        <f t="shared" si="16"/>
        <v>Low Value Product</v>
      </c>
      <c r="N331" t="str">
        <f t="shared" si="17"/>
        <v>Low Revenue Product</v>
      </c>
    </row>
    <row r="332" spans="1:14" x14ac:dyDescent="0.35">
      <c r="A332" s="15" t="s">
        <v>437</v>
      </c>
      <c r="B332" s="16" t="s">
        <v>14</v>
      </c>
      <c r="C332" s="16" t="s">
        <v>15</v>
      </c>
      <c r="D332" s="17">
        <v>250</v>
      </c>
      <c r="E332" s="18" t="s">
        <v>476</v>
      </c>
      <c r="F332" s="16">
        <v>155</v>
      </c>
      <c r="G332" s="16">
        <v>15162039</v>
      </c>
      <c r="H332" s="16" t="s">
        <v>621</v>
      </c>
      <c r="I332" s="27" t="s">
        <v>2</v>
      </c>
      <c r="J332" s="18">
        <v>0.28000000000000003</v>
      </c>
      <c r="K332" s="33">
        <v>33.53</v>
      </c>
      <c r="L332" s="31">
        <f t="shared" si="15"/>
        <v>9.3884000000000007</v>
      </c>
      <c r="M332" t="str">
        <f t="shared" si="16"/>
        <v>Low Value Product</v>
      </c>
      <c r="N332" t="str">
        <f t="shared" si="17"/>
        <v>Low Revenue Product</v>
      </c>
    </row>
    <row r="333" spans="1:14" x14ac:dyDescent="0.35">
      <c r="A333" s="19" t="s">
        <v>437</v>
      </c>
      <c r="B333" s="18" t="s">
        <v>369</v>
      </c>
      <c r="C333" s="18" t="s">
        <v>3</v>
      </c>
      <c r="D333" s="7">
        <v>528</v>
      </c>
      <c r="E333" s="18" t="s">
        <v>476</v>
      </c>
      <c r="F333" s="18">
        <v>155</v>
      </c>
      <c r="G333" s="18">
        <v>71171990</v>
      </c>
      <c r="H333" s="18" t="s">
        <v>10</v>
      </c>
      <c r="I333" s="28" t="s">
        <v>88</v>
      </c>
      <c r="J333" s="21">
        <v>7.0000000000000007E-2</v>
      </c>
      <c r="K333" s="34">
        <v>2.65</v>
      </c>
      <c r="L333" s="31">
        <f t="shared" si="15"/>
        <v>0.1855</v>
      </c>
      <c r="M333" t="str">
        <f t="shared" si="16"/>
        <v>Low Value Product</v>
      </c>
      <c r="N333" t="str">
        <f t="shared" si="17"/>
        <v>Low Revenue Product</v>
      </c>
    </row>
    <row r="334" spans="1:14" x14ac:dyDescent="0.35">
      <c r="A334" s="19" t="s">
        <v>438</v>
      </c>
      <c r="B334" s="18" t="s">
        <v>370</v>
      </c>
      <c r="C334" s="18" t="s">
        <v>0</v>
      </c>
      <c r="D334" s="7">
        <v>826</v>
      </c>
      <c r="E334" s="18" t="s">
        <v>478</v>
      </c>
      <c r="F334" s="18">
        <v>154</v>
      </c>
      <c r="G334" s="18">
        <v>57029210</v>
      </c>
      <c r="H334" s="18" t="s">
        <v>28</v>
      </c>
      <c r="I334" s="27" t="s">
        <v>21</v>
      </c>
      <c r="J334" s="18">
        <v>0</v>
      </c>
      <c r="K334" s="33">
        <v>0.24</v>
      </c>
      <c r="L334" s="31">
        <f t="shared" si="15"/>
        <v>0</v>
      </c>
      <c r="M334" t="str">
        <f t="shared" si="16"/>
        <v>Low Value Product</v>
      </c>
      <c r="N334" t="str">
        <f t="shared" si="17"/>
        <v>Low Revenue Product</v>
      </c>
    </row>
    <row r="335" spans="1:14" x14ac:dyDescent="0.35">
      <c r="A335" s="19" t="s">
        <v>438</v>
      </c>
      <c r="B335" s="18" t="s">
        <v>44</v>
      </c>
      <c r="C335" s="18" t="s">
        <v>45</v>
      </c>
      <c r="D335" s="7">
        <v>56</v>
      </c>
      <c r="E335" s="18" t="s">
        <v>476</v>
      </c>
      <c r="F335" s="18">
        <v>155</v>
      </c>
      <c r="G335" s="18">
        <v>61109000</v>
      </c>
      <c r="H335" s="18" t="s">
        <v>596</v>
      </c>
      <c r="I335" s="28" t="s">
        <v>17</v>
      </c>
      <c r="J335" s="21">
        <v>0.11</v>
      </c>
      <c r="K335" s="34">
        <v>0.64</v>
      </c>
      <c r="L335" s="31">
        <f t="shared" si="15"/>
        <v>7.0400000000000004E-2</v>
      </c>
      <c r="M335" t="str">
        <f t="shared" si="16"/>
        <v>Low Value Product</v>
      </c>
      <c r="N335" t="str">
        <f t="shared" si="17"/>
        <v>Low Revenue Product</v>
      </c>
    </row>
    <row r="336" spans="1:14" x14ac:dyDescent="0.35">
      <c r="A336" s="19" t="s">
        <v>438</v>
      </c>
      <c r="B336" s="18" t="s">
        <v>155</v>
      </c>
      <c r="C336" s="18" t="s">
        <v>156</v>
      </c>
      <c r="D336" s="7">
        <v>20</v>
      </c>
      <c r="E336" s="18" t="s">
        <v>477</v>
      </c>
      <c r="F336" s="18">
        <v>39</v>
      </c>
      <c r="G336" s="18">
        <v>62114300</v>
      </c>
      <c r="H336" s="18" t="s">
        <v>91</v>
      </c>
      <c r="I336" s="27" t="s">
        <v>17</v>
      </c>
      <c r="J336" s="18">
        <v>0.02</v>
      </c>
      <c r="K336" s="33">
        <v>0.21</v>
      </c>
      <c r="L336" s="31">
        <f t="shared" si="15"/>
        <v>4.1999999999999997E-3</v>
      </c>
      <c r="M336" t="str">
        <f t="shared" si="16"/>
        <v>Low Value Product</v>
      </c>
      <c r="N336" t="str">
        <f t="shared" si="17"/>
        <v>Low Revenue Product</v>
      </c>
    </row>
    <row r="337" spans="1:14" x14ac:dyDescent="0.35">
      <c r="A337" s="20" t="s">
        <v>438</v>
      </c>
      <c r="B337" s="21" t="s">
        <v>60</v>
      </c>
      <c r="C337" s="21" t="s">
        <v>61</v>
      </c>
      <c r="D337" s="8">
        <v>724</v>
      </c>
      <c r="E337" s="18" t="s">
        <v>477</v>
      </c>
      <c r="F337" s="21">
        <v>39</v>
      </c>
      <c r="G337" s="21">
        <v>53091990</v>
      </c>
      <c r="H337" s="21" t="s">
        <v>10</v>
      </c>
      <c r="I337" s="28" t="s">
        <v>173</v>
      </c>
      <c r="J337" s="21"/>
      <c r="K337" s="34">
        <v>0.03</v>
      </c>
      <c r="L337" s="31">
        <f t="shared" si="15"/>
        <v>0</v>
      </c>
      <c r="M337" t="str">
        <f t="shared" si="16"/>
        <v>Low Value Product</v>
      </c>
      <c r="N337" t="str">
        <f t="shared" si="17"/>
        <v>Low Revenue Product</v>
      </c>
    </row>
    <row r="338" spans="1:14" x14ac:dyDescent="0.35">
      <c r="A338" s="15" t="s">
        <v>438</v>
      </c>
      <c r="B338" s="16" t="s">
        <v>55</v>
      </c>
      <c r="C338" s="16" t="s">
        <v>56</v>
      </c>
      <c r="D338" s="17">
        <v>276</v>
      </c>
      <c r="E338" s="18" t="s">
        <v>476</v>
      </c>
      <c r="F338" s="16">
        <v>155</v>
      </c>
      <c r="G338" s="16">
        <v>19059040</v>
      </c>
      <c r="H338" s="16" t="s">
        <v>98</v>
      </c>
      <c r="I338" s="27" t="s">
        <v>21</v>
      </c>
      <c r="J338" s="18">
        <v>8.42</v>
      </c>
      <c r="K338" s="33">
        <v>17.309999999999999</v>
      </c>
      <c r="L338" s="31">
        <f t="shared" si="15"/>
        <v>145.75019999999998</v>
      </c>
      <c r="M338" t="str">
        <f t="shared" si="16"/>
        <v>Low Value Product</v>
      </c>
      <c r="N338" t="str">
        <f t="shared" si="17"/>
        <v>Low Revenue Product</v>
      </c>
    </row>
    <row r="339" spans="1:14" x14ac:dyDescent="0.35">
      <c r="A339" s="20" t="s">
        <v>438</v>
      </c>
      <c r="B339" s="21" t="s">
        <v>60</v>
      </c>
      <c r="C339" s="21" t="s">
        <v>61</v>
      </c>
      <c r="D339" s="8">
        <v>724</v>
      </c>
      <c r="E339" s="18" t="s">
        <v>477</v>
      </c>
      <c r="F339" s="21">
        <v>39</v>
      </c>
      <c r="G339" s="21">
        <v>99930090</v>
      </c>
      <c r="H339" s="21" t="s">
        <v>351</v>
      </c>
      <c r="I339" s="28" t="s">
        <v>2</v>
      </c>
      <c r="J339" s="21">
        <v>28.61</v>
      </c>
      <c r="K339" s="34">
        <v>61.97</v>
      </c>
      <c r="L339" s="31">
        <f t="shared" si="15"/>
        <v>1772.9616999999998</v>
      </c>
      <c r="M339" t="str">
        <f t="shared" si="16"/>
        <v>Low Value Product</v>
      </c>
      <c r="N339" t="str">
        <f t="shared" si="17"/>
        <v>Low Revenue Product</v>
      </c>
    </row>
    <row r="340" spans="1:14" x14ac:dyDescent="0.35">
      <c r="A340" s="19" t="s">
        <v>439</v>
      </c>
      <c r="B340" s="18" t="s">
        <v>5</v>
      </c>
      <c r="C340" s="18" t="s">
        <v>6</v>
      </c>
      <c r="D340" s="7">
        <v>756</v>
      </c>
      <c r="E340" s="18" t="s">
        <v>476</v>
      </c>
      <c r="F340" s="18">
        <v>155</v>
      </c>
      <c r="G340" s="18">
        <v>9011112</v>
      </c>
      <c r="H340" s="18" t="s">
        <v>223</v>
      </c>
      <c r="I340" s="27" t="s">
        <v>2</v>
      </c>
      <c r="J340" s="18">
        <v>6</v>
      </c>
      <c r="K340" s="33">
        <v>11.46</v>
      </c>
      <c r="L340" s="31">
        <f t="shared" si="15"/>
        <v>68.760000000000005</v>
      </c>
      <c r="M340" t="str">
        <f t="shared" si="16"/>
        <v>Low Value Product</v>
      </c>
      <c r="N340" t="str">
        <f t="shared" si="17"/>
        <v>Low Revenue Product</v>
      </c>
    </row>
    <row r="341" spans="1:14" x14ac:dyDescent="0.35">
      <c r="A341" s="19" t="s">
        <v>439</v>
      </c>
      <c r="B341" s="18" t="s">
        <v>51</v>
      </c>
      <c r="C341" s="18" t="s">
        <v>52</v>
      </c>
      <c r="D341" s="7">
        <v>616</v>
      </c>
      <c r="E341" s="18" t="s">
        <v>479</v>
      </c>
      <c r="F341" s="18">
        <v>151</v>
      </c>
      <c r="G341" s="18">
        <v>61072990</v>
      </c>
      <c r="H341" s="18" t="s">
        <v>622</v>
      </c>
      <c r="I341" s="28" t="s">
        <v>17</v>
      </c>
      <c r="J341" s="21">
        <v>14.19</v>
      </c>
      <c r="K341" s="34">
        <v>30.59</v>
      </c>
      <c r="L341" s="31">
        <f t="shared" si="15"/>
        <v>434.07209999999998</v>
      </c>
      <c r="M341" t="str">
        <f t="shared" si="16"/>
        <v>Low Value Product</v>
      </c>
      <c r="N341" t="str">
        <f t="shared" si="17"/>
        <v>Low Revenue Product</v>
      </c>
    </row>
    <row r="342" spans="1:14" x14ac:dyDescent="0.35">
      <c r="A342" s="15" t="s">
        <v>439</v>
      </c>
      <c r="B342" s="16" t="s">
        <v>370</v>
      </c>
      <c r="C342" s="16" t="s">
        <v>0</v>
      </c>
      <c r="D342" s="17">
        <v>826</v>
      </c>
      <c r="E342" s="18" t="s">
        <v>478</v>
      </c>
      <c r="F342" s="16">
        <v>154</v>
      </c>
      <c r="G342" s="16">
        <v>52121300</v>
      </c>
      <c r="H342" s="16" t="s">
        <v>597</v>
      </c>
      <c r="I342" s="27" t="s">
        <v>21</v>
      </c>
      <c r="J342" s="18">
        <v>98.56</v>
      </c>
      <c r="K342" s="33">
        <v>172.13</v>
      </c>
      <c r="L342" s="31">
        <f t="shared" si="15"/>
        <v>16965.132799999999</v>
      </c>
      <c r="M342" t="str">
        <f t="shared" si="16"/>
        <v>Low Value Product</v>
      </c>
      <c r="N342" t="str">
        <f t="shared" si="17"/>
        <v>Low Revenue Product</v>
      </c>
    </row>
    <row r="343" spans="1:14" x14ac:dyDescent="0.35">
      <c r="A343" s="20" t="s">
        <v>439</v>
      </c>
      <c r="B343" s="21" t="s">
        <v>134</v>
      </c>
      <c r="C343" s="21" t="s">
        <v>135</v>
      </c>
      <c r="D343" s="8">
        <v>300</v>
      </c>
      <c r="E343" s="18" t="s">
        <v>477</v>
      </c>
      <c r="F343" s="21">
        <v>39</v>
      </c>
      <c r="G343" s="21">
        <v>39122019</v>
      </c>
      <c r="H343" s="21" t="s">
        <v>267</v>
      </c>
      <c r="I343" s="28" t="s">
        <v>2</v>
      </c>
      <c r="J343" s="21">
        <v>0.02</v>
      </c>
      <c r="K343" s="34">
        <v>0.35</v>
      </c>
      <c r="L343" s="31">
        <f t="shared" si="15"/>
        <v>6.9999999999999993E-3</v>
      </c>
      <c r="M343" t="str">
        <f t="shared" si="16"/>
        <v>Low Value Product</v>
      </c>
      <c r="N343" t="str">
        <f t="shared" si="17"/>
        <v>Low Revenue Product</v>
      </c>
    </row>
    <row r="344" spans="1:14" x14ac:dyDescent="0.35">
      <c r="A344" s="15" t="s">
        <v>439</v>
      </c>
      <c r="B344" s="16" t="s">
        <v>65</v>
      </c>
      <c r="C344" s="16" t="s">
        <v>66</v>
      </c>
      <c r="D344" s="17">
        <v>470</v>
      </c>
      <c r="E344" s="18" t="s">
        <v>477</v>
      </c>
      <c r="F344" s="16">
        <v>39</v>
      </c>
      <c r="G344" s="16">
        <v>84129030</v>
      </c>
      <c r="H344" s="16" t="s">
        <v>508</v>
      </c>
      <c r="I344" s="27" t="s">
        <v>2</v>
      </c>
      <c r="J344" s="18">
        <v>0.11</v>
      </c>
      <c r="K344" s="33">
        <v>7.17</v>
      </c>
      <c r="L344" s="31">
        <f t="shared" si="15"/>
        <v>0.78869999999999996</v>
      </c>
      <c r="M344" t="str">
        <f t="shared" si="16"/>
        <v>Low Value Product</v>
      </c>
      <c r="N344" t="str">
        <f t="shared" si="17"/>
        <v>Low Revenue Product</v>
      </c>
    </row>
    <row r="345" spans="1:14" x14ac:dyDescent="0.35">
      <c r="A345" s="19" t="s">
        <v>439</v>
      </c>
      <c r="B345" s="18" t="s">
        <v>83</v>
      </c>
      <c r="C345" s="18" t="s">
        <v>84</v>
      </c>
      <c r="D345" s="7">
        <v>804</v>
      </c>
      <c r="E345" s="18" t="s">
        <v>479</v>
      </c>
      <c r="F345" s="18">
        <v>151</v>
      </c>
      <c r="G345" s="18">
        <v>81019600</v>
      </c>
      <c r="H345" s="18" t="s">
        <v>328</v>
      </c>
      <c r="I345" s="28" t="s">
        <v>2</v>
      </c>
      <c r="J345" s="21">
        <v>50.22</v>
      </c>
      <c r="K345" s="34">
        <v>82.87</v>
      </c>
      <c r="L345" s="31">
        <f t="shared" si="15"/>
        <v>4161.7314000000006</v>
      </c>
      <c r="M345" t="str">
        <f t="shared" si="16"/>
        <v>Low Value Product</v>
      </c>
      <c r="N345" t="str">
        <f t="shared" si="17"/>
        <v>Low Revenue Product</v>
      </c>
    </row>
    <row r="346" spans="1:14" x14ac:dyDescent="0.35">
      <c r="A346" s="19" t="s">
        <v>440</v>
      </c>
      <c r="B346" s="18" t="s">
        <v>51</v>
      </c>
      <c r="C346" s="18" t="s">
        <v>52</v>
      </c>
      <c r="D346" s="7">
        <v>616</v>
      </c>
      <c r="E346" s="18" t="s">
        <v>479</v>
      </c>
      <c r="F346" s="18">
        <v>151</v>
      </c>
      <c r="G346" s="18">
        <v>64035113</v>
      </c>
      <c r="H346" s="18" t="s">
        <v>598</v>
      </c>
      <c r="I346" s="27" t="s">
        <v>88</v>
      </c>
      <c r="J346" s="18">
        <v>104.3</v>
      </c>
      <c r="K346" s="33">
        <v>773.04</v>
      </c>
      <c r="L346" s="31">
        <f t="shared" si="15"/>
        <v>80628.072</v>
      </c>
      <c r="M346" t="str">
        <f t="shared" si="16"/>
        <v>Low Value Product</v>
      </c>
      <c r="N346" t="str">
        <f t="shared" si="17"/>
        <v>Medium Revenue Product</v>
      </c>
    </row>
    <row r="347" spans="1:14" x14ac:dyDescent="0.35">
      <c r="A347" s="20" t="s">
        <v>440</v>
      </c>
      <c r="B347" s="21" t="s">
        <v>29</v>
      </c>
      <c r="C347" s="21" t="s">
        <v>30</v>
      </c>
      <c r="D347" s="8">
        <v>191</v>
      </c>
      <c r="E347" s="18" t="s">
        <v>477</v>
      </c>
      <c r="F347" s="21">
        <v>39</v>
      </c>
      <c r="G347" s="21">
        <v>70172000</v>
      </c>
      <c r="H347" s="21" t="s">
        <v>599</v>
      </c>
      <c r="I347" s="28" t="s">
        <v>2</v>
      </c>
      <c r="J347" s="21">
        <v>6.75</v>
      </c>
      <c r="K347" s="34">
        <v>19.36</v>
      </c>
      <c r="L347" s="31">
        <f t="shared" si="15"/>
        <v>130.68</v>
      </c>
      <c r="M347" t="str">
        <f t="shared" si="16"/>
        <v>Low Value Product</v>
      </c>
      <c r="N347" t="str">
        <f t="shared" si="17"/>
        <v>Low Revenue Product</v>
      </c>
    </row>
    <row r="348" spans="1:14" x14ac:dyDescent="0.35">
      <c r="A348" s="19" t="s">
        <v>441</v>
      </c>
      <c r="B348" s="18" t="s">
        <v>44</v>
      </c>
      <c r="C348" s="18" t="s">
        <v>45</v>
      </c>
      <c r="D348" s="7">
        <v>56</v>
      </c>
      <c r="E348" s="18" t="s">
        <v>476</v>
      </c>
      <c r="F348" s="18">
        <v>155</v>
      </c>
      <c r="G348" s="18">
        <v>52053110</v>
      </c>
      <c r="H348" s="18" t="s">
        <v>143</v>
      </c>
      <c r="I348" s="27" t="s">
        <v>2</v>
      </c>
      <c r="J348" s="18">
        <v>14.62</v>
      </c>
      <c r="K348" s="33">
        <v>18.71</v>
      </c>
      <c r="L348" s="31">
        <f t="shared" si="15"/>
        <v>273.54019999999997</v>
      </c>
      <c r="M348" t="str">
        <f t="shared" si="16"/>
        <v>Low Value Product</v>
      </c>
      <c r="N348" t="str">
        <f t="shared" si="17"/>
        <v>Low Revenue Product</v>
      </c>
    </row>
    <row r="349" spans="1:14" x14ac:dyDescent="0.35">
      <c r="A349" s="20" t="s">
        <v>441</v>
      </c>
      <c r="B349" s="21" t="s">
        <v>60</v>
      </c>
      <c r="C349" s="21" t="s">
        <v>61</v>
      </c>
      <c r="D349" s="8">
        <v>724</v>
      </c>
      <c r="E349" s="18" t="s">
        <v>477</v>
      </c>
      <c r="F349" s="21">
        <v>39</v>
      </c>
      <c r="G349" s="21">
        <v>85423100</v>
      </c>
      <c r="H349" s="21" t="s">
        <v>205</v>
      </c>
      <c r="I349" s="28" t="s">
        <v>2</v>
      </c>
      <c r="J349" s="21">
        <v>9.24</v>
      </c>
      <c r="K349" s="34">
        <v>32.99</v>
      </c>
      <c r="L349" s="31">
        <f t="shared" si="15"/>
        <v>304.82760000000002</v>
      </c>
      <c r="M349" t="str">
        <f t="shared" si="16"/>
        <v>Low Value Product</v>
      </c>
      <c r="N349" t="str">
        <f t="shared" si="17"/>
        <v>Low Revenue Product</v>
      </c>
    </row>
    <row r="350" spans="1:14" x14ac:dyDescent="0.35">
      <c r="A350" s="19" t="s">
        <v>441</v>
      </c>
      <c r="B350" s="18" t="s">
        <v>370</v>
      </c>
      <c r="C350" s="18" t="s">
        <v>0</v>
      </c>
      <c r="D350" s="7">
        <v>826</v>
      </c>
      <c r="E350" s="18" t="s">
        <v>478</v>
      </c>
      <c r="F350" s="18">
        <v>154</v>
      </c>
      <c r="G350" s="18">
        <v>29215990</v>
      </c>
      <c r="H350" s="18" t="s">
        <v>109</v>
      </c>
      <c r="I350" s="27" t="s">
        <v>2</v>
      </c>
      <c r="J350" s="18">
        <v>0.05</v>
      </c>
      <c r="K350" s="33">
        <v>3.83</v>
      </c>
      <c r="L350" s="31">
        <f t="shared" si="15"/>
        <v>0.1915</v>
      </c>
      <c r="M350" t="str">
        <f t="shared" si="16"/>
        <v>Low Value Product</v>
      </c>
      <c r="N350" t="str">
        <f t="shared" si="17"/>
        <v>Low Revenue Product</v>
      </c>
    </row>
    <row r="351" spans="1:14" x14ac:dyDescent="0.35">
      <c r="A351" s="19" t="s">
        <v>441</v>
      </c>
      <c r="B351" s="18" t="s">
        <v>130</v>
      </c>
      <c r="C351" s="18" t="s">
        <v>131</v>
      </c>
      <c r="D351" s="7">
        <v>233</v>
      </c>
      <c r="E351" s="18" t="s">
        <v>478</v>
      </c>
      <c r="F351" s="18">
        <v>154</v>
      </c>
      <c r="G351" s="18">
        <v>85177090</v>
      </c>
      <c r="H351" s="18" t="s">
        <v>623</v>
      </c>
      <c r="I351" s="28" t="s">
        <v>21</v>
      </c>
      <c r="J351" s="21">
        <v>8.16</v>
      </c>
      <c r="K351" s="34">
        <v>61.44</v>
      </c>
      <c r="L351" s="31">
        <f t="shared" si="15"/>
        <v>501.35039999999998</v>
      </c>
      <c r="M351" t="str">
        <f t="shared" si="16"/>
        <v>Low Value Product</v>
      </c>
      <c r="N351" t="str">
        <f t="shared" si="17"/>
        <v>Low Revenue Product</v>
      </c>
    </row>
    <row r="352" spans="1:14" x14ac:dyDescent="0.35">
      <c r="A352" s="15" t="s">
        <v>441</v>
      </c>
      <c r="B352" s="16" t="s">
        <v>40</v>
      </c>
      <c r="C352" s="16" t="s">
        <v>41</v>
      </c>
      <c r="D352" s="17">
        <v>642</v>
      </c>
      <c r="E352" s="18" t="s">
        <v>479</v>
      </c>
      <c r="F352" s="16">
        <v>151</v>
      </c>
      <c r="G352" s="16">
        <v>76169990</v>
      </c>
      <c r="H352" s="16" t="s">
        <v>43</v>
      </c>
      <c r="I352" s="27" t="s">
        <v>2</v>
      </c>
      <c r="J352" s="18">
        <v>42.7</v>
      </c>
      <c r="K352" s="33">
        <v>308.42</v>
      </c>
      <c r="L352" s="31">
        <f t="shared" si="15"/>
        <v>13169.534000000001</v>
      </c>
      <c r="M352" t="str">
        <f t="shared" si="16"/>
        <v>Low Value Product</v>
      </c>
      <c r="N352" t="str">
        <f t="shared" si="17"/>
        <v>Low Revenue Product</v>
      </c>
    </row>
    <row r="353" spans="1:14" x14ac:dyDescent="0.35">
      <c r="A353" s="20" t="s">
        <v>442</v>
      </c>
      <c r="B353" s="21" t="s">
        <v>44</v>
      </c>
      <c r="C353" s="21" t="s">
        <v>45</v>
      </c>
      <c r="D353" s="8">
        <v>56</v>
      </c>
      <c r="E353" s="18" t="s">
        <v>476</v>
      </c>
      <c r="F353" s="21">
        <v>155</v>
      </c>
      <c r="G353" s="21">
        <v>85044030</v>
      </c>
      <c r="H353" s="21" t="s">
        <v>242</v>
      </c>
      <c r="I353" s="28" t="s">
        <v>21</v>
      </c>
      <c r="J353" s="21">
        <v>351</v>
      </c>
      <c r="K353" s="34">
        <v>0.14000000000000001</v>
      </c>
      <c r="L353" s="31">
        <f t="shared" si="15"/>
        <v>49.140000000000008</v>
      </c>
      <c r="M353" t="str">
        <f t="shared" si="16"/>
        <v>Low Value Product</v>
      </c>
      <c r="N353" t="str">
        <f t="shared" si="17"/>
        <v>Low Revenue Product</v>
      </c>
    </row>
    <row r="354" spans="1:14" x14ac:dyDescent="0.35">
      <c r="A354" s="19" t="s">
        <v>442</v>
      </c>
      <c r="B354" s="18" t="s">
        <v>40</v>
      </c>
      <c r="C354" s="18" t="s">
        <v>41</v>
      </c>
      <c r="D354" s="7">
        <v>642</v>
      </c>
      <c r="E354" s="18" t="s">
        <v>479</v>
      </c>
      <c r="F354" s="18">
        <v>151</v>
      </c>
      <c r="G354" s="18">
        <v>39173100</v>
      </c>
      <c r="H354" s="18" t="s">
        <v>42</v>
      </c>
      <c r="I354" s="27" t="s">
        <v>2</v>
      </c>
      <c r="J354" s="18">
        <v>7629</v>
      </c>
      <c r="K354" s="33">
        <v>0.35</v>
      </c>
      <c r="L354" s="31">
        <f t="shared" si="15"/>
        <v>2670.1499999999996</v>
      </c>
      <c r="M354" t="str">
        <f t="shared" si="16"/>
        <v>Low Value Product</v>
      </c>
      <c r="N354" t="str">
        <f t="shared" si="17"/>
        <v>Low Revenue Product</v>
      </c>
    </row>
    <row r="355" spans="1:14" x14ac:dyDescent="0.35">
      <c r="A355" s="20" t="s">
        <v>442</v>
      </c>
      <c r="B355" s="21" t="s">
        <v>78</v>
      </c>
      <c r="C355" s="21" t="s">
        <v>79</v>
      </c>
      <c r="D355" s="8">
        <v>208</v>
      </c>
      <c r="E355" s="18" t="s">
        <v>478</v>
      </c>
      <c r="F355" s="21">
        <v>154</v>
      </c>
      <c r="G355" s="21">
        <v>62044210</v>
      </c>
      <c r="H355" s="21" t="s">
        <v>80</v>
      </c>
      <c r="I355" s="28" t="s">
        <v>21</v>
      </c>
      <c r="J355" s="21">
        <v>1002</v>
      </c>
      <c r="K355" s="34">
        <v>0.12</v>
      </c>
      <c r="L355" s="31">
        <f t="shared" si="15"/>
        <v>120.24</v>
      </c>
      <c r="M355" t="str">
        <f t="shared" si="16"/>
        <v>Low Value Product</v>
      </c>
      <c r="N355" t="str">
        <f t="shared" si="17"/>
        <v>Low Revenue Product</v>
      </c>
    </row>
    <row r="356" spans="1:14" x14ac:dyDescent="0.35">
      <c r="A356" s="19" t="s">
        <v>442</v>
      </c>
      <c r="B356" s="18" t="s">
        <v>78</v>
      </c>
      <c r="C356" s="18" t="s">
        <v>79</v>
      </c>
      <c r="D356" s="7">
        <v>208</v>
      </c>
      <c r="E356" s="18" t="s">
        <v>478</v>
      </c>
      <c r="F356" s="18">
        <v>154</v>
      </c>
      <c r="G356" s="18">
        <v>90172020</v>
      </c>
      <c r="H356" s="18" t="s">
        <v>175</v>
      </c>
      <c r="I356" s="27" t="s">
        <v>21</v>
      </c>
      <c r="J356" s="18">
        <v>218</v>
      </c>
      <c r="K356" s="33">
        <v>0.01</v>
      </c>
      <c r="L356" s="31">
        <f t="shared" si="15"/>
        <v>2.1800000000000002</v>
      </c>
      <c r="M356" t="str">
        <f t="shared" si="16"/>
        <v>Low Value Product</v>
      </c>
      <c r="N356" t="str">
        <f t="shared" si="17"/>
        <v>Low Revenue Product</v>
      </c>
    </row>
    <row r="357" spans="1:14" x14ac:dyDescent="0.35">
      <c r="A357" s="20" t="s">
        <v>442</v>
      </c>
      <c r="B357" s="21" t="s">
        <v>125</v>
      </c>
      <c r="C357" s="21" t="s">
        <v>126</v>
      </c>
      <c r="D357" s="8">
        <v>372</v>
      </c>
      <c r="E357" s="18" t="s">
        <v>478</v>
      </c>
      <c r="F357" s="21">
        <v>154</v>
      </c>
      <c r="G357" s="21">
        <v>62082200</v>
      </c>
      <c r="H357" s="21" t="s">
        <v>359</v>
      </c>
      <c r="I357" s="28" t="s">
        <v>21</v>
      </c>
      <c r="J357" s="21">
        <v>9</v>
      </c>
      <c r="K357" s="34">
        <v>0.02</v>
      </c>
      <c r="L357" s="31">
        <f t="shared" si="15"/>
        <v>0.18</v>
      </c>
      <c r="M357" t="str">
        <f t="shared" si="16"/>
        <v>Low Value Product</v>
      </c>
      <c r="N357" t="str">
        <f t="shared" si="17"/>
        <v>Low Revenue Product</v>
      </c>
    </row>
    <row r="358" spans="1:14" x14ac:dyDescent="0.35">
      <c r="A358" s="19" t="s">
        <v>442</v>
      </c>
      <c r="B358" s="18" t="s">
        <v>125</v>
      </c>
      <c r="C358" s="18" t="s">
        <v>126</v>
      </c>
      <c r="D358" s="7">
        <v>372</v>
      </c>
      <c r="E358" s="18" t="s">
        <v>478</v>
      </c>
      <c r="F358" s="18">
        <v>154</v>
      </c>
      <c r="G358" s="18">
        <v>63026090</v>
      </c>
      <c r="H358" s="18" t="s">
        <v>140</v>
      </c>
      <c r="I358" s="27" t="s">
        <v>2</v>
      </c>
      <c r="J358" s="18">
        <v>72</v>
      </c>
      <c r="K358" s="33">
        <v>0.62</v>
      </c>
      <c r="L358" s="31">
        <f t="shared" si="15"/>
        <v>44.64</v>
      </c>
      <c r="M358" t="str">
        <f t="shared" si="16"/>
        <v>Low Value Product</v>
      </c>
      <c r="N358" t="str">
        <f t="shared" si="17"/>
        <v>Low Revenue Product</v>
      </c>
    </row>
    <row r="359" spans="1:14" x14ac:dyDescent="0.35">
      <c r="A359" s="19" t="s">
        <v>443</v>
      </c>
      <c r="B359" s="18" t="s">
        <v>31</v>
      </c>
      <c r="C359" s="18" t="s">
        <v>32</v>
      </c>
      <c r="D359" s="7">
        <v>112</v>
      </c>
      <c r="E359" s="18" t="s">
        <v>479</v>
      </c>
      <c r="F359" s="18">
        <v>151</v>
      </c>
      <c r="G359" s="18">
        <v>82022000</v>
      </c>
      <c r="H359" s="18" t="s">
        <v>33</v>
      </c>
      <c r="I359" s="28" t="s">
        <v>2</v>
      </c>
      <c r="J359" s="21">
        <v>2792</v>
      </c>
      <c r="K359" s="34">
        <v>0.79</v>
      </c>
      <c r="L359" s="31">
        <f t="shared" si="15"/>
        <v>2205.6800000000003</v>
      </c>
      <c r="M359" t="str">
        <f t="shared" si="16"/>
        <v>Low Value Product</v>
      </c>
      <c r="N359" t="str">
        <f t="shared" si="17"/>
        <v>Low Revenue Product</v>
      </c>
    </row>
    <row r="360" spans="1:14" x14ac:dyDescent="0.35">
      <c r="A360" s="15" t="s">
        <v>443</v>
      </c>
      <c r="B360" s="16" t="s">
        <v>51</v>
      </c>
      <c r="C360" s="16" t="s">
        <v>52</v>
      </c>
      <c r="D360" s="17">
        <v>616</v>
      </c>
      <c r="E360" s="18" t="s">
        <v>479</v>
      </c>
      <c r="F360" s="16">
        <v>151</v>
      </c>
      <c r="G360" s="16">
        <v>90173021</v>
      </c>
      <c r="H360" s="16" t="s">
        <v>133</v>
      </c>
      <c r="I360" s="27" t="s">
        <v>2</v>
      </c>
      <c r="J360" s="18">
        <v>127955</v>
      </c>
      <c r="K360" s="33">
        <v>1.92</v>
      </c>
      <c r="L360" s="31">
        <f t="shared" si="15"/>
        <v>245673.59999999998</v>
      </c>
      <c r="M360" t="str">
        <f t="shared" si="16"/>
        <v>Low Value Product</v>
      </c>
      <c r="N360" t="str">
        <f t="shared" si="17"/>
        <v>High Revenue Product</v>
      </c>
    </row>
    <row r="361" spans="1:14" x14ac:dyDescent="0.35">
      <c r="A361" s="19" t="s">
        <v>443</v>
      </c>
      <c r="B361" s="18" t="s">
        <v>22</v>
      </c>
      <c r="C361" s="18" t="s">
        <v>23</v>
      </c>
      <c r="D361" s="7">
        <v>380</v>
      </c>
      <c r="E361" s="18" t="s">
        <v>477</v>
      </c>
      <c r="F361" s="18">
        <v>39</v>
      </c>
      <c r="G361" s="18">
        <v>39206210</v>
      </c>
      <c r="H361" s="18" t="s">
        <v>572</v>
      </c>
      <c r="I361" s="28" t="s">
        <v>21</v>
      </c>
      <c r="J361" s="21">
        <v>1193</v>
      </c>
      <c r="K361" s="34">
        <v>0.38</v>
      </c>
      <c r="L361" s="31">
        <f t="shared" si="15"/>
        <v>453.34000000000003</v>
      </c>
      <c r="M361" t="str">
        <f t="shared" si="16"/>
        <v>Low Value Product</v>
      </c>
      <c r="N361" t="str">
        <f t="shared" si="17"/>
        <v>Low Revenue Product</v>
      </c>
    </row>
    <row r="362" spans="1:14" x14ac:dyDescent="0.35">
      <c r="A362" s="15" t="s">
        <v>443</v>
      </c>
      <c r="B362" s="16" t="s">
        <v>22</v>
      </c>
      <c r="C362" s="16" t="s">
        <v>23</v>
      </c>
      <c r="D362" s="17">
        <v>380</v>
      </c>
      <c r="E362" s="18" t="s">
        <v>477</v>
      </c>
      <c r="F362" s="16">
        <v>39</v>
      </c>
      <c r="G362" s="16">
        <v>84814000</v>
      </c>
      <c r="H362" s="16" t="s">
        <v>108</v>
      </c>
      <c r="I362" s="27" t="s">
        <v>2</v>
      </c>
      <c r="J362" s="18">
        <v>74</v>
      </c>
      <c r="K362" s="33">
        <v>0.03</v>
      </c>
      <c r="L362" s="31">
        <f t="shared" si="15"/>
        <v>2.2199999999999998</v>
      </c>
      <c r="M362" t="str">
        <f t="shared" si="16"/>
        <v>Low Value Product</v>
      </c>
      <c r="N362" t="str">
        <f t="shared" si="17"/>
        <v>Low Revenue Product</v>
      </c>
    </row>
    <row r="363" spans="1:14" x14ac:dyDescent="0.35">
      <c r="A363" s="20" t="s">
        <v>444</v>
      </c>
      <c r="B363" s="21" t="s">
        <v>370</v>
      </c>
      <c r="C363" s="21" t="s">
        <v>0</v>
      </c>
      <c r="D363" s="8">
        <v>826</v>
      </c>
      <c r="E363" s="18" t="s">
        <v>478</v>
      </c>
      <c r="F363" s="21">
        <v>154</v>
      </c>
      <c r="G363" s="21">
        <v>63041100</v>
      </c>
      <c r="H363" s="21" t="s">
        <v>72</v>
      </c>
      <c r="I363" s="28" t="s">
        <v>2</v>
      </c>
      <c r="J363" s="21">
        <v>2.16</v>
      </c>
      <c r="K363" s="34">
        <v>21.17</v>
      </c>
      <c r="L363" s="31">
        <f t="shared" si="15"/>
        <v>45.727200000000003</v>
      </c>
      <c r="M363" t="str">
        <f t="shared" si="16"/>
        <v>Low Value Product</v>
      </c>
      <c r="N363" t="str">
        <f t="shared" si="17"/>
        <v>Low Revenue Product</v>
      </c>
    </row>
    <row r="364" spans="1:14" x14ac:dyDescent="0.35">
      <c r="A364" s="15" t="s">
        <v>444</v>
      </c>
      <c r="B364" s="16" t="s">
        <v>55</v>
      </c>
      <c r="C364" s="16" t="s">
        <v>56</v>
      </c>
      <c r="D364" s="17">
        <v>276</v>
      </c>
      <c r="E364" s="18" t="s">
        <v>476</v>
      </c>
      <c r="F364" s="16">
        <v>155</v>
      </c>
      <c r="G364" s="16">
        <v>82029110</v>
      </c>
      <c r="H364" s="16" t="s">
        <v>81</v>
      </c>
      <c r="I364" s="27" t="s">
        <v>17</v>
      </c>
      <c r="J364" s="18">
        <v>23.42</v>
      </c>
      <c r="K364" s="33">
        <v>19.11</v>
      </c>
      <c r="L364" s="31">
        <f t="shared" si="15"/>
        <v>447.55620000000005</v>
      </c>
      <c r="M364" t="str">
        <f t="shared" si="16"/>
        <v>Low Value Product</v>
      </c>
      <c r="N364" t="str">
        <f t="shared" si="17"/>
        <v>Low Revenue Product</v>
      </c>
    </row>
    <row r="365" spans="1:14" x14ac:dyDescent="0.35">
      <c r="A365" s="20" t="s">
        <v>444</v>
      </c>
      <c r="B365" s="21" t="s">
        <v>44</v>
      </c>
      <c r="C365" s="21" t="s">
        <v>45</v>
      </c>
      <c r="D365" s="8">
        <v>56</v>
      </c>
      <c r="E365" s="18" t="s">
        <v>476</v>
      </c>
      <c r="F365" s="21">
        <v>155</v>
      </c>
      <c r="G365" s="21">
        <v>29224290</v>
      </c>
      <c r="H365" s="21" t="s">
        <v>300</v>
      </c>
      <c r="I365" s="28" t="s">
        <v>2</v>
      </c>
      <c r="J365" s="21">
        <v>45</v>
      </c>
      <c r="K365" s="34">
        <v>40.520000000000003</v>
      </c>
      <c r="L365" s="31">
        <f t="shared" si="15"/>
        <v>1823.4</v>
      </c>
      <c r="M365" t="str">
        <f t="shared" si="16"/>
        <v>Low Value Product</v>
      </c>
      <c r="N365" t="str">
        <f t="shared" si="17"/>
        <v>Low Revenue Product</v>
      </c>
    </row>
    <row r="366" spans="1:14" x14ac:dyDescent="0.35">
      <c r="A366" s="19" t="s">
        <v>444</v>
      </c>
      <c r="B366" s="18" t="s">
        <v>370</v>
      </c>
      <c r="C366" s="18" t="s">
        <v>0</v>
      </c>
      <c r="D366" s="7">
        <v>826</v>
      </c>
      <c r="E366" s="18" t="s">
        <v>478</v>
      </c>
      <c r="F366" s="18">
        <v>154</v>
      </c>
      <c r="G366" s="18">
        <v>84254200</v>
      </c>
      <c r="H366" s="18" t="s">
        <v>357</v>
      </c>
      <c r="I366" s="27" t="s">
        <v>21</v>
      </c>
      <c r="J366" s="18">
        <v>9.3800000000000008</v>
      </c>
      <c r="K366" s="33">
        <v>31.31</v>
      </c>
      <c r="L366" s="31">
        <f t="shared" si="15"/>
        <v>293.68780000000004</v>
      </c>
      <c r="M366" t="str">
        <f t="shared" si="16"/>
        <v>Low Value Product</v>
      </c>
      <c r="N366" t="str">
        <f t="shared" si="17"/>
        <v>Low Revenue Product</v>
      </c>
    </row>
    <row r="367" spans="1:14" x14ac:dyDescent="0.35">
      <c r="A367" s="20" t="s">
        <v>444</v>
      </c>
      <c r="B367" s="21" t="s">
        <v>8</v>
      </c>
      <c r="C367" s="21" t="s">
        <v>9</v>
      </c>
      <c r="D367" s="8">
        <v>348</v>
      </c>
      <c r="E367" s="18" t="s">
        <v>479</v>
      </c>
      <c r="F367" s="21">
        <v>151</v>
      </c>
      <c r="G367" s="21">
        <v>30029090</v>
      </c>
      <c r="H367" s="21" t="s">
        <v>10</v>
      </c>
      <c r="I367" s="28" t="s">
        <v>2</v>
      </c>
      <c r="J367" s="21">
        <v>0.05</v>
      </c>
      <c r="K367" s="34">
        <v>0.56999999999999995</v>
      </c>
      <c r="L367" s="31">
        <f t="shared" si="15"/>
        <v>2.8499999999999998E-2</v>
      </c>
      <c r="M367" t="str">
        <f t="shared" si="16"/>
        <v>Low Value Product</v>
      </c>
      <c r="N367" t="str">
        <f t="shared" si="17"/>
        <v>Low Revenue Product</v>
      </c>
    </row>
    <row r="368" spans="1:14" x14ac:dyDescent="0.35">
      <c r="A368" s="19" t="s">
        <v>444</v>
      </c>
      <c r="B368" s="18" t="s">
        <v>78</v>
      </c>
      <c r="C368" s="18" t="s">
        <v>79</v>
      </c>
      <c r="D368" s="7">
        <v>208</v>
      </c>
      <c r="E368" s="18" t="s">
        <v>478</v>
      </c>
      <c r="F368" s="18">
        <v>154</v>
      </c>
      <c r="G368" s="18">
        <v>52084290</v>
      </c>
      <c r="H368" s="18" t="s">
        <v>10</v>
      </c>
      <c r="I368" s="27" t="s">
        <v>169</v>
      </c>
      <c r="J368" s="18">
        <v>0.48</v>
      </c>
      <c r="K368" s="33">
        <v>0.22</v>
      </c>
      <c r="L368" s="31">
        <f t="shared" si="15"/>
        <v>0.1056</v>
      </c>
      <c r="M368" t="str">
        <f t="shared" si="16"/>
        <v>Low Value Product</v>
      </c>
      <c r="N368" t="str">
        <f t="shared" si="17"/>
        <v>Low Revenue Product</v>
      </c>
    </row>
    <row r="369" spans="1:14" x14ac:dyDescent="0.35">
      <c r="A369" s="19" t="s">
        <v>444</v>
      </c>
      <c r="B369" s="18" t="s">
        <v>78</v>
      </c>
      <c r="C369" s="18" t="s">
        <v>79</v>
      </c>
      <c r="D369" s="7">
        <v>208</v>
      </c>
      <c r="E369" s="18" t="s">
        <v>478</v>
      </c>
      <c r="F369" s="18">
        <v>154</v>
      </c>
      <c r="G369" s="18">
        <v>84139120</v>
      </c>
      <c r="H369" s="18" t="s">
        <v>244</v>
      </c>
      <c r="I369" s="28" t="s">
        <v>21</v>
      </c>
      <c r="J369" s="21">
        <v>2.59</v>
      </c>
      <c r="K369" s="34">
        <v>21.74</v>
      </c>
      <c r="L369" s="31">
        <f t="shared" si="15"/>
        <v>56.306599999999996</v>
      </c>
      <c r="M369" t="str">
        <f t="shared" si="16"/>
        <v>Low Value Product</v>
      </c>
      <c r="N369" t="str">
        <f t="shared" si="17"/>
        <v>Low Revenue Product</v>
      </c>
    </row>
    <row r="370" spans="1:14" x14ac:dyDescent="0.35">
      <c r="A370" s="19" t="s">
        <v>444</v>
      </c>
      <c r="B370" s="18" t="s">
        <v>14</v>
      </c>
      <c r="C370" s="18" t="s">
        <v>15</v>
      </c>
      <c r="D370" s="7">
        <v>250</v>
      </c>
      <c r="E370" s="18" t="s">
        <v>476</v>
      </c>
      <c r="F370" s="18">
        <v>155</v>
      </c>
      <c r="G370" s="18">
        <v>85441920</v>
      </c>
      <c r="H370" s="18" t="s">
        <v>168</v>
      </c>
      <c r="I370" s="27" t="s">
        <v>2</v>
      </c>
      <c r="J370" s="18">
        <v>3.09</v>
      </c>
      <c r="K370" s="33">
        <v>52.74</v>
      </c>
      <c r="L370" s="31">
        <f t="shared" si="15"/>
        <v>162.9666</v>
      </c>
      <c r="M370" t="str">
        <f t="shared" si="16"/>
        <v>Low Value Product</v>
      </c>
      <c r="N370" t="str">
        <f t="shared" si="17"/>
        <v>Low Revenue Product</v>
      </c>
    </row>
    <row r="371" spans="1:14" x14ac:dyDescent="0.35">
      <c r="A371" s="20" t="s">
        <v>445</v>
      </c>
      <c r="B371" s="21" t="s">
        <v>83</v>
      </c>
      <c r="C371" s="21" t="s">
        <v>84</v>
      </c>
      <c r="D371" s="8">
        <v>804</v>
      </c>
      <c r="E371" s="18" t="s">
        <v>479</v>
      </c>
      <c r="F371" s="21">
        <v>151</v>
      </c>
      <c r="G371" s="21">
        <v>32159090</v>
      </c>
      <c r="H371" s="21" t="s">
        <v>174</v>
      </c>
      <c r="I371" s="28" t="s">
        <v>2</v>
      </c>
      <c r="J371" s="21">
        <v>9.84</v>
      </c>
      <c r="K371" s="34">
        <v>44.34</v>
      </c>
      <c r="L371" s="31">
        <f t="shared" si="15"/>
        <v>436.30560000000003</v>
      </c>
      <c r="M371" t="str">
        <f t="shared" si="16"/>
        <v>Low Value Product</v>
      </c>
      <c r="N371" t="str">
        <f t="shared" si="17"/>
        <v>Low Revenue Product</v>
      </c>
    </row>
    <row r="372" spans="1:14" x14ac:dyDescent="0.35">
      <c r="A372" s="19" t="s">
        <v>445</v>
      </c>
      <c r="B372" s="18" t="s">
        <v>14</v>
      </c>
      <c r="C372" s="18" t="s">
        <v>15</v>
      </c>
      <c r="D372" s="7">
        <v>250</v>
      </c>
      <c r="E372" s="18" t="s">
        <v>476</v>
      </c>
      <c r="F372" s="18">
        <v>155</v>
      </c>
      <c r="G372" s="18">
        <v>10063010</v>
      </c>
      <c r="H372" s="18" t="s">
        <v>350</v>
      </c>
      <c r="I372" s="27" t="s">
        <v>2</v>
      </c>
      <c r="J372" s="18">
        <v>3</v>
      </c>
      <c r="K372" s="33">
        <v>1.23</v>
      </c>
      <c r="L372" s="31">
        <f t="shared" si="15"/>
        <v>3.69</v>
      </c>
      <c r="M372" t="str">
        <f t="shared" si="16"/>
        <v>Low Value Product</v>
      </c>
      <c r="N372" t="str">
        <f t="shared" si="17"/>
        <v>Low Revenue Product</v>
      </c>
    </row>
    <row r="373" spans="1:14" x14ac:dyDescent="0.35">
      <c r="A373" s="19" t="s">
        <v>446</v>
      </c>
      <c r="B373" s="18" t="s">
        <v>369</v>
      </c>
      <c r="C373" s="18" t="s">
        <v>3</v>
      </c>
      <c r="D373" s="7">
        <v>528</v>
      </c>
      <c r="E373" s="18" t="s">
        <v>476</v>
      </c>
      <c r="F373" s="18">
        <v>155</v>
      </c>
      <c r="G373" s="18">
        <v>20098910</v>
      </c>
      <c r="H373" s="18" t="s">
        <v>245</v>
      </c>
      <c r="I373" s="28" t="s">
        <v>21</v>
      </c>
      <c r="J373" s="21">
        <v>0.01</v>
      </c>
      <c r="K373" s="34">
        <v>0.12</v>
      </c>
      <c r="L373" s="31">
        <f t="shared" si="15"/>
        <v>1.1999999999999999E-3</v>
      </c>
      <c r="M373" t="str">
        <f t="shared" si="16"/>
        <v>Low Value Product</v>
      </c>
      <c r="N373" t="str">
        <f t="shared" si="17"/>
        <v>Low Revenue Product</v>
      </c>
    </row>
    <row r="374" spans="1:14" x14ac:dyDescent="0.35">
      <c r="A374" s="15" t="s">
        <v>446</v>
      </c>
      <c r="B374" s="16" t="s">
        <v>370</v>
      </c>
      <c r="C374" s="16" t="s">
        <v>0</v>
      </c>
      <c r="D374" s="17">
        <v>826</v>
      </c>
      <c r="E374" s="18" t="s">
        <v>478</v>
      </c>
      <c r="F374" s="16">
        <v>154</v>
      </c>
      <c r="G374" s="16">
        <v>42022990</v>
      </c>
      <c r="H374" s="16" t="s">
        <v>10</v>
      </c>
      <c r="I374" s="27" t="s">
        <v>2</v>
      </c>
      <c r="J374" s="18">
        <v>61.42</v>
      </c>
      <c r="K374" s="33">
        <v>144.33000000000001</v>
      </c>
      <c r="L374" s="31">
        <f t="shared" si="15"/>
        <v>8864.7486000000008</v>
      </c>
      <c r="M374" t="str">
        <f t="shared" si="16"/>
        <v>Low Value Product</v>
      </c>
      <c r="N374" t="str">
        <f t="shared" si="17"/>
        <v>Low Revenue Product</v>
      </c>
    </row>
    <row r="375" spans="1:14" x14ac:dyDescent="0.35">
      <c r="A375" s="20" t="s">
        <v>446</v>
      </c>
      <c r="B375" s="21" t="s">
        <v>369</v>
      </c>
      <c r="C375" s="21" t="s">
        <v>3</v>
      </c>
      <c r="D375" s="8">
        <v>528</v>
      </c>
      <c r="E375" s="18" t="s">
        <v>476</v>
      </c>
      <c r="F375" s="21">
        <v>155</v>
      </c>
      <c r="G375" s="21">
        <v>62029290</v>
      </c>
      <c r="H375" s="21" t="s">
        <v>516</v>
      </c>
      <c r="I375" s="28" t="s">
        <v>21</v>
      </c>
      <c r="J375" s="21">
        <v>33.92</v>
      </c>
      <c r="K375" s="34">
        <v>128.56</v>
      </c>
      <c r="L375" s="31">
        <f t="shared" si="15"/>
        <v>4360.7552000000005</v>
      </c>
      <c r="M375" t="str">
        <f t="shared" si="16"/>
        <v>Low Value Product</v>
      </c>
      <c r="N375" t="str">
        <f t="shared" si="17"/>
        <v>Low Revenue Product</v>
      </c>
    </row>
    <row r="376" spans="1:14" x14ac:dyDescent="0.35">
      <c r="A376" s="19" t="s">
        <v>446</v>
      </c>
      <c r="B376" s="18" t="s">
        <v>210</v>
      </c>
      <c r="C376" s="18" t="s">
        <v>211</v>
      </c>
      <c r="D376" s="7">
        <v>442</v>
      </c>
      <c r="E376" s="18" t="s">
        <v>476</v>
      </c>
      <c r="F376" s="18">
        <v>155</v>
      </c>
      <c r="G376" s="18">
        <v>85334030</v>
      </c>
      <c r="H376" s="18" t="s">
        <v>212</v>
      </c>
      <c r="I376" s="27" t="s">
        <v>21</v>
      </c>
      <c r="J376" s="18">
        <v>542</v>
      </c>
      <c r="K376" s="33">
        <v>62.77</v>
      </c>
      <c r="L376" s="31">
        <f t="shared" si="15"/>
        <v>34021.340000000004</v>
      </c>
      <c r="M376" t="str">
        <f t="shared" si="16"/>
        <v>Low Value Product</v>
      </c>
      <c r="N376" t="str">
        <f t="shared" si="17"/>
        <v>Low Revenue Product</v>
      </c>
    </row>
    <row r="377" spans="1:14" x14ac:dyDescent="0.35">
      <c r="A377" s="19" t="s">
        <v>447</v>
      </c>
      <c r="B377" s="18" t="s">
        <v>55</v>
      </c>
      <c r="C377" s="18" t="s">
        <v>56</v>
      </c>
      <c r="D377" s="7">
        <v>276</v>
      </c>
      <c r="E377" s="18" t="s">
        <v>476</v>
      </c>
      <c r="F377" s="18">
        <v>155</v>
      </c>
      <c r="G377" s="18">
        <v>39069010</v>
      </c>
      <c r="H377" s="18" t="s">
        <v>517</v>
      </c>
      <c r="I377" s="28" t="s">
        <v>2</v>
      </c>
      <c r="J377" s="21">
        <v>1.82</v>
      </c>
      <c r="K377" s="34">
        <v>4.99</v>
      </c>
      <c r="L377" s="31">
        <f t="shared" si="15"/>
        <v>9.0818000000000012</v>
      </c>
      <c r="M377" t="str">
        <f t="shared" si="16"/>
        <v>Low Value Product</v>
      </c>
      <c r="N377" t="str">
        <f t="shared" si="17"/>
        <v>Low Revenue Product</v>
      </c>
    </row>
    <row r="378" spans="1:14" x14ac:dyDescent="0.35">
      <c r="A378" s="15" t="s">
        <v>447</v>
      </c>
      <c r="B378" s="16" t="s">
        <v>22</v>
      </c>
      <c r="C378" s="16" t="s">
        <v>23</v>
      </c>
      <c r="D378" s="17">
        <v>380</v>
      </c>
      <c r="E378" s="18" t="s">
        <v>477</v>
      </c>
      <c r="F378" s="16">
        <v>39</v>
      </c>
      <c r="G378" s="16">
        <v>30059070</v>
      </c>
      <c r="H378" s="16" t="s">
        <v>322</v>
      </c>
      <c r="I378" s="27" t="s">
        <v>2</v>
      </c>
      <c r="J378" s="18">
        <v>17.899999999999999</v>
      </c>
      <c r="K378" s="33">
        <v>60.49</v>
      </c>
      <c r="L378" s="31">
        <f t="shared" si="15"/>
        <v>1082.771</v>
      </c>
      <c r="M378" t="str">
        <f t="shared" si="16"/>
        <v>Low Value Product</v>
      </c>
      <c r="N378" t="str">
        <f t="shared" si="17"/>
        <v>Low Revenue Product</v>
      </c>
    </row>
    <row r="379" spans="1:14" x14ac:dyDescent="0.35">
      <c r="A379" s="20" t="s">
        <v>447</v>
      </c>
      <c r="B379" s="21" t="s">
        <v>11</v>
      </c>
      <c r="C379" s="21" t="s">
        <v>12</v>
      </c>
      <c r="D379" s="8">
        <v>643</v>
      </c>
      <c r="E379" s="18" t="s">
        <v>479</v>
      </c>
      <c r="F379" s="21">
        <v>151</v>
      </c>
      <c r="G379" s="21">
        <v>73251000</v>
      </c>
      <c r="H379" s="21" t="s">
        <v>483</v>
      </c>
      <c r="I379" s="28" t="s">
        <v>2</v>
      </c>
      <c r="J379" s="21">
        <v>0.35</v>
      </c>
      <c r="K379" s="34">
        <v>14.8</v>
      </c>
      <c r="L379" s="31">
        <f t="shared" si="15"/>
        <v>5.18</v>
      </c>
      <c r="M379" t="str">
        <f t="shared" si="16"/>
        <v>Low Value Product</v>
      </c>
      <c r="N379" t="str">
        <f t="shared" si="17"/>
        <v>Low Revenue Product</v>
      </c>
    </row>
    <row r="380" spans="1:14" x14ac:dyDescent="0.35">
      <c r="A380" s="19" t="s">
        <v>447</v>
      </c>
      <c r="B380" s="18" t="s">
        <v>60</v>
      </c>
      <c r="C380" s="18" t="s">
        <v>61</v>
      </c>
      <c r="D380" s="7">
        <v>724</v>
      </c>
      <c r="E380" s="18" t="s">
        <v>477</v>
      </c>
      <c r="F380" s="18">
        <v>39</v>
      </c>
      <c r="G380" s="18">
        <v>84151090</v>
      </c>
      <c r="H380" s="18" t="s">
        <v>493</v>
      </c>
      <c r="I380" s="27" t="s">
        <v>21</v>
      </c>
      <c r="J380" s="18">
        <v>0</v>
      </c>
      <c r="K380" s="33">
        <v>0.36</v>
      </c>
      <c r="L380" s="31">
        <f t="shared" si="15"/>
        <v>0</v>
      </c>
      <c r="M380" t="str">
        <f t="shared" si="16"/>
        <v>Low Value Product</v>
      </c>
      <c r="N380" t="str">
        <f t="shared" si="17"/>
        <v>Low Revenue Product</v>
      </c>
    </row>
    <row r="381" spans="1:14" x14ac:dyDescent="0.35">
      <c r="A381" s="19" t="s">
        <v>448</v>
      </c>
      <c r="B381" s="18" t="s">
        <v>55</v>
      </c>
      <c r="C381" s="18" t="s">
        <v>56</v>
      </c>
      <c r="D381" s="7">
        <v>276</v>
      </c>
      <c r="E381" s="18" t="s">
        <v>476</v>
      </c>
      <c r="F381" s="18">
        <v>155</v>
      </c>
      <c r="G381" s="18">
        <v>28332500</v>
      </c>
      <c r="H381" s="18" t="s">
        <v>233</v>
      </c>
      <c r="I381" s="28" t="s">
        <v>21</v>
      </c>
      <c r="J381" s="21">
        <v>10</v>
      </c>
      <c r="K381" s="34">
        <v>0</v>
      </c>
      <c r="L381" s="31">
        <f t="shared" si="15"/>
        <v>0</v>
      </c>
      <c r="M381" t="str">
        <f t="shared" si="16"/>
        <v>Low Value Product</v>
      </c>
      <c r="N381" t="str">
        <f t="shared" si="17"/>
        <v>Low Revenue Product</v>
      </c>
    </row>
    <row r="382" spans="1:14" x14ac:dyDescent="0.35">
      <c r="A382" s="15" t="s">
        <v>448</v>
      </c>
      <c r="B382" s="16" t="s">
        <v>48</v>
      </c>
      <c r="C382" s="16" t="s">
        <v>49</v>
      </c>
      <c r="D382" s="17">
        <v>246</v>
      </c>
      <c r="E382" s="18" t="s">
        <v>478</v>
      </c>
      <c r="F382" s="16">
        <v>154</v>
      </c>
      <c r="G382" s="16">
        <v>85332929</v>
      </c>
      <c r="H382" s="16" t="s">
        <v>600</v>
      </c>
      <c r="I382" s="27" t="s">
        <v>2</v>
      </c>
      <c r="J382" s="18">
        <v>0.01</v>
      </c>
      <c r="K382" s="33">
        <v>0.04</v>
      </c>
      <c r="L382" s="31">
        <f t="shared" si="15"/>
        <v>4.0000000000000002E-4</v>
      </c>
      <c r="M382" t="str">
        <f t="shared" si="16"/>
        <v>Low Value Product</v>
      </c>
      <c r="N382" t="str">
        <f t="shared" si="17"/>
        <v>Low Revenue Product</v>
      </c>
    </row>
    <row r="383" spans="1:14" x14ac:dyDescent="0.35">
      <c r="A383" s="19" t="s">
        <v>448</v>
      </c>
      <c r="B383" s="18" t="s">
        <v>55</v>
      </c>
      <c r="C383" s="18" t="s">
        <v>56</v>
      </c>
      <c r="D383" s="7">
        <v>276</v>
      </c>
      <c r="E383" s="18" t="s">
        <v>476</v>
      </c>
      <c r="F383" s="18">
        <v>155</v>
      </c>
      <c r="G383" s="18">
        <v>29415000</v>
      </c>
      <c r="H383" s="18" t="s">
        <v>601</v>
      </c>
      <c r="I383" s="28" t="s">
        <v>2</v>
      </c>
      <c r="J383" s="21">
        <v>66</v>
      </c>
      <c r="K383" s="34">
        <v>36.159999999999997</v>
      </c>
      <c r="L383" s="31">
        <f t="shared" si="15"/>
        <v>2386.56</v>
      </c>
      <c r="M383" t="str">
        <f t="shared" si="16"/>
        <v>Low Value Product</v>
      </c>
      <c r="N383" t="str">
        <f t="shared" si="17"/>
        <v>Low Revenue Product</v>
      </c>
    </row>
    <row r="384" spans="1:14" x14ac:dyDescent="0.35">
      <c r="A384" s="15" t="s">
        <v>448</v>
      </c>
      <c r="B384" s="16" t="s">
        <v>14</v>
      </c>
      <c r="C384" s="16" t="s">
        <v>15</v>
      </c>
      <c r="D384" s="17">
        <v>250</v>
      </c>
      <c r="E384" s="18" t="s">
        <v>476</v>
      </c>
      <c r="F384" s="16">
        <v>155</v>
      </c>
      <c r="G384" s="16">
        <v>29415000</v>
      </c>
      <c r="H384" s="16" t="s">
        <v>601</v>
      </c>
      <c r="I384" s="27" t="s">
        <v>2</v>
      </c>
      <c r="J384" s="18">
        <v>0.98</v>
      </c>
      <c r="K384" s="33">
        <v>102.77</v>
      </c>
      <c r="L384" s="31">
        <f t="shared" si="15"/>
        <v>100.71459999999999</v>
      </c>
      <c r="M384" t="str">
        <f t="shared" si="16"/>
        <v>Low Value Product</v>
      </c>
      <c r="N384" t="str">
        <f t="shared" si="17"/>
        <v>Low Revenue Product</v>
      </c>
    </row>
    <row r="385" spans="1:14" x14ac:dyDescent="0.35">
      <c r="A385" s="19" t="s">
        <v>448</v>
      </c>
      <c r="B385" s="18" t="s">
        <v>370</v>
      </c>
      <c r="C385" s="18" t="s">
        <v>0</v>
      </c>
      <c r="D385" s="7">
        <v>826</v>
      </c>
      <c r="E385" s="18" t="s">
        <v>478</v>
      </c>
      <c r="F385" s="18">
        <v>154</v>
      </c>
      <c r="G385" s="18">
        <v>8011990</v>
      </c>
      <c r="H385" s="18" t="s">
        <v>602</v>
      </c>
      <c r="I385" s="28" t="s">
        <v>2</v>
      </c>
      <c r="J385" s="21">
        <v>8.5399999999999991</v>
      </c>
      <c r="K385" s="34">
        <v>629.70000000000005</v>
      </c>
      <c r="L385" s="31">
        <f t="shared" si="15"/>
        <v>5377.6379999999999</v>
      </c>
      <c r="M385" t="str">
        <f t="shared" si="16"/>
        <v>Low Value Product</v>
      </c>
      <c r="N385" t="str">
        <f t="shared" si="17"/>
        <v>Low Revenue Product</v>
      </c>
    </row>
    <row r="386" spans="1:14" x14ac:dyDescent="0.35">
      <c r="A386" s="15" t="s">
        <v>448</v>
      </c>
      <c r="B386" s="16" t="s">
        <v>38</v>
      </c>
      <c r="C386" s="16" t="s">
        <v>39</v>
      </c>
      <c r="D386" s="17">
        <v>703</v>
      </c>
      <c r="E386" s="18" t="s">
        <v>479</v>
      </c>
      <c r="F386" s="16">
        <v>151</v>
      </c>
      <c r="G386" s="16">
        <v>68029300</v>
      </c>
      <c r="H386" s="16" t="s">
        <v>278</v>
      </c>
      <c r="I386" s="27" t="s">
        <v>2</v>
      </c>
      <c r="J386" s="18">
        <v>167.58</v>
      </c>
      <c r="K386" s="33">
        <v>84.35</v>
      </c>
      <c r="L386" s="31">
        <f t="shared" si="15"/>
        <v>14135.373</v>
      </c>
      <c r="M386" t="str">
        <f t="shared" si="16"/>
        <v>Low Value Product</v>
      </c>
      <c r="N386" t="str">
        <f t="shared" si="17"/>
        <v>Low Revenue Product</v>
      </c>
    </row>
    <row r="387" spans="1:14" x14ac:dyDescent="0.35">
      <c r="A387" s="20" t="s">
        <v>449</v>
      </c>
      <c r="B387" s="21" t="s">
        <v>62</v>
      </c>
      <c r="C387" s="21" t="s">
        <v>63</v>
      </c>
      <c r="D387" s="8">
        <v>752</v>
      </c>
      <c r="E387" s="18" t="s">
        <v>478</v>
      </c>
      <c r="F387" s="21">
        <v>154</v>
      </c>
      <c r="G387" s="21">
        <v>28492010</v>
      </c>
      <c r="H387" s="21" t="s">
        <v>324</v>
      </c>
      <c r="I387" s="28" t="s">
        <v>2</v>
      </c>
      <c r="J387" s="21">
        <v>0.4</v>
      </c>
      <c r="K387" s="34">
        <v>0.52</v>
      </c>
      <c r="L387" s="31">
        <f t="shared" ref="L387:L450" si="18">J387*K387</f>
        <v>0.20800000000000002</v>
      </c>
      <c r="M387" t="str">
        <f t="shared" ref="M387:M450" si="19">IF(K387&lt;=1000,"Low Value Product",IF(K387&lt;=2000,"Moderate Value Product","High Value Product"))</f>
        <v>Low Value Product</v>
      </c>
      <c r="N387" t="str">
        <f t="shared" ref="N387:N450" si="20">IF(L387&lt;50000,"Low Revenue Product",IF(L387&lt;100000,"Medium Revenue Product","High Revenue Product"))</f>
        <v>Low Revenue Product</v>
      </c>
    </row>
    <row r="388" spans="1:14" x14ac:dyDescent="0.35">
      <c r="A388" s="15" t="s">
        <v>449</v>
      </c>
      <c r="B388" s="16" t="s">
        <v>60</v>
      </c>
      <c r="C388" s="16" t="s">
        <v>61</v>
      </c>
      <c r="D388" s="17">
        <v>724</v>
      </c>
      <c r="E388" s="18" t="s">
        <v>477</v>
      </c>
      <c r="F388" s="16">
        <v>39</v>
      </c>
      <c r="G388" s="16">
        <v>32041982</v>
      </c>
      <c r="H388" s="16" t="s">
        <v>161</v>
      </c>
      <c r="I388" s="27" t="s">
        <v>2</v>
      </c>
      <c r="J388" s="18">
        <v>0.3</v>
      </c>
      <c r="K388" s="33">
        <v>4.6500000000000004</v>
      </c>
      <c r="L388" s="31">
        <f t="shared" si="18"/>
        <v>1.395</v>
      </c>
      <c r="M388" t="str">
        <f t="shared" si="19"/>
        <v>Low Value Product</v>
      </c>
      <c r="N388" t="str">
        <f t="shared" si="20"/>
        <v>Low Revenue Product</v>
      </c>
    </row>
    <row r="389" spans="1:14" x14ac:dyDescent="0.35">
      <c r="A389" s="19" t="s">
        <v>449</v>
      </c>
      <c r="B389" s="18" t="s">
        <v>315</v>
      </c>
      <c r="C389" s="18" t="s">
        <v>316</v>
      </c>
      <c r="D389" s="7">
        <v>428</v>
      </c>
      <c r="E389" s="18" t="s">
        <v>478</v>
      </c>
      <c r="F389" s="18">
        <v>154</v>
      </c>
      <c r="G389" s="18">
        <v>73181500</v>
      </c>
      <c r="H389" s="18" t="s">
        <v>494</v>
      </c>
      <c r="I389" s="28" t="s">
        <v>2</v>
      </c>
      <c r="J389" s="21">
        <v>24.1</v>
      </c>
      <c r="K389" s="34">
        <v>58.4</v>
      </c>
      <c r="L389" s="31">
        <f t="shared" si="18"/>
        <v>1407.44</v>
      </c>
      <c r="M389" t="str">
        <f t="shared" si="19"/>
        <v>Low Value Product</v>
      </c>
      <c r="N389" t="str">
        <f t="shared" si="20"/>
        <v>Low Revenue Product</v>
      </c>
    </row>
    <row r="390" spans="1:14" x14ac:dyDescent="0.35">
      <c r="A390" s="19" t="s">
        <v>449</v>
      </c>
      <c r="B390" s="18" t="s">
        <v>134</v>
      </c>
      <c r="C390" s="18" t="s">
        <v>135</v>
      </c>
      <c r="D390" s="7">
        <v>300</v>
      </c>
      <c r="E390" s="18" t="s">
        <v>477</v>
      </c>
      <c r="F390" s="18">
        <v>39</v>
      </c>
      <c r="G390" s="18">
        <v>84149019</v>
      </c>
      <c r="H390" s="18" t="s">
        <v>509</v>
      </c>
      <c r="I390" s="27" t="s">
        <v>2</v>
      </c>
      <c r="J390" s="18">
        <v>4</v>
      </c>
      <c r="K390" s="33">
        <v>13.91</v>
      </c>
      <c r="L390" s="31">
        <f t="shared" si="18"/>
        <v>55.64</v>
      </c>
      <c r="M390" t="str">
        <f t="shared" si="19"/>
        <v>Low Value Product</v>
      </c>
      <c r="N390" t="str">
        <f t="shared" si="20"/>
        <v>Low Revenue Product</v>
      </c>
    </row>
    <row r="391" spans="1:14" x14ac:dyDescent="0.35">
      <c r="A391" s="19" t="s">
        <v>450</v>
      </c>
      <c r="B391" s="18" t="s">
        <v>172</v>
      </c>
      <c r="C391" s="18" t="s">
        <v>480</v>
      </c>
      <c r="D391" s="7" t="s">
        <v>480</v>
      </c>
      <c r="E391" s="18" t="s">
        <v>476</v>
      </c>
      <c r="F391" s="18">
        <v>155</v>
      </c>
      <c r="G391" s="18">
        <v>34029099</v>
      </c>
      <c r="H391" s="18" t="s">
        <v>262</v>
      </c>
      <c r="I391" s="28" t="s">
        <v>2</v>
      </c>
      <c r="J391" s="21">
        <v>3.38</v>
      </c>
      <c r="K391" s="34">
        <v>28.89</v>
      </c>
      <c r="L391" s="31">
        <f t="shared" si="18"/>
        <v>97.648200000000003</v>
      </c>
      <c r="M391" t="str">
        <f t="shared" si="19"/>
        <v>Low Value Product</v>
      </c>
      <c r="N391" t="str">
        <f t="shared" si="20"/>
        <v>Low Revenue Product</v>
      </c>
    </row>
    <row r="392" spans="1:14" x14ac:dyDescent="0.35">
      <c r="A392" s="15" t="s">
        <v>450</v>
      </c>
      <c r="B392" s="16" t="s">
        <v>5</v>
      </c>
      <c r="C392" s="16" t="s">
        <v>6</v>
      </c>
      <c r="D392" s="17">
        <v>756</v>
      </c>
      <c r="E392" s="18" t="s">
        <v>476</v>
      </c>
      <c r="F392" s="16">
        <v>155</v>
      </c>
      <c r="G392" s="16">
        <v>9083190</v>
      </c>
      <c r="H392" s="16" t="s">
        <v>320</v>
      </c>
      <c r="I392" s="27" t="s">
        <v>2</v>
      </c>
      <c r="J392" s="18">
        <v>1012.14</v>
      </c>
      <c r="K392" s="33">
        <v>677.53</v>
      </c>
      <c r="L392" s="31">
        <f t="shared" si="18"/>
        <v>685755.21419999993</v>
      </c>
      <c r="M392" t="str">
        <f t="shared" si="19"/>
        <v>Low Value Product</v>
      </c>
      <c r="N392" t="str">
        <f t="shared" si="20"/>
        <v>High Revenue Product</v>
      </c>
    </row>
    <row r="393" spans="1:14" x14ac:dyDescent="0.35">
      <c r="A393" s="19" t="s">
        <v>450</v>
      </c>
      <c r="B393" s="18" t="s">
        <v>370</v>
      </c>
      <c r="C393" s="18" t="s">
        <v>0</v>
      </c>
      <c r="D393" s="7">
        <v>826</v>
      </c>
      <c r="E393" s="18" t="s">
        <v>478</v>
      </c>
      <c r="F393" s="18">
        <v>154</v>
      </c>
      <c r="G393" s="18">
        <v>39219092</v>
      </c>
      <c r="H393" s="18" t="s">
        <v>495</v>
      </c>
      <c r="I393" s="28" t="s">
        <v>2</v>
      </c>
      <c r="J393" s="21">
        <v>0.17</v>
      </c>
      <c r="K393" s="34">
        <v>2.08</v>
      </c>
      <c r="L393" s="31">
        <f t="shared" si="18"/>
        <v>0.35360000000000003</v>
      </c>
      <c r="M393" t="str">
        <f t="shared" si="19"/>
        <v>Low Value Product</v>
      </c>
      <c r="N393" t="str">
        <f t="shared" si="20"/>
        <v>Low Revenue Product</v>
      </c>
    </row>
    <row r="394" spans="1:14" x14ac:dyDescent="0.35">
      <c r="A394" s="15" t="s">
        <v>450</v>
      </c>
      <c r="B394" s="16" t="s">
        <v>60</v>
      </c>
      <c r="C394" s="16" t="s">
        <v>61</v>
      </c>
      <c r="D394" s="17">
        <v>724</v>
      </c>
      <c r="E394" s="18" t="s">
        <v>477</v>
      </c>
      <c r="F394" s="16">
        <v>39</v>
      </c>
      <c r="G394" s="16">
        <v>29222924</v>
      </c>
      <c r="H394" s="16" t="s">
        <v>334</v>
      </c>
      <c r="I394" s="27" t="s">
        <v>2</v>
      </c>
      <c r="J394" s="18">
        <v>0.27</v>
      </c>
      <c r="K394" s="33">
        <v>1.98</v>
      </c>
      <c r="L394" s="31">
        <f t="shared" si="18"/>
        <v>0.53460000000000008</v>
      </c>
      <c r="M394" t="str">
        <f t="shared" si="19"/>
        <v>Low Value Product</v>
      </c>
      <c r="N394" t="str">
        <f t="shared" si="20"/>
        <v>Low Revenue Product</v>
      </c>
    </row>
    <row r="395" spans="1:14" x14ac:dyDescent="0.35">
      <c r="A395" s="20" t="s">
        <v>450</v>
      </c>
      <c r="B395" s="21" t="s">
        <v>40</v>
      </c>
      <c r="C395" s="21" t="s">
        <v>41</v>
      </c>
      <c r="D395" s="8">
        <v>642</v>
      </c>
      <c r="E395" s="18" t="s">
        <v>479</v>
      </c>
      <c r="F395" s="21">
        <v>151</v>
      </c>
      <c r="G395" s="21">
        <v>62081990</v>
      </c>
      <c r="H395" s="21" t="s">
        <v>603</v>
      </c>
      <c r="I395" s="28" t="s">
        <v>21</v>
      </c>
      <c r="J395" s="21">
        <v>1.1599999999999999</v>
      </c>
      <c r="K395" s="34">
        <v>1.8</v>
      </c>
      <c r="L395" s="31">
        <f t="shared" si="18"/>
        <v>2.0880000000000001</v>
      </c>
      <c r="M395" t="str">
        <f t="shared" si="19"/>
        <v>Low Value Product</v>
      </c>
      <c r="N395" t="str">
        <f t="shared" si="20"/>
        <v>Low Revenue Product</v>
      </c>
    </row>
    <row r="396" spans="1:14" x14ac:dyDescent="0.35">
      <c r="A396" s="19" t="s">
        <v>450</v>
      </c>
      <c r="B396" s="18" t="s">
        <v>44</v>
      </c>
      <c r="C396" s="18" t="s">
        <v>45</v>
      </c>
      <c r="D396" s="7">
        <v>56</v>
      </c>
      <c r="E396" s="18" t="s">
        <v>476</v>
      </c>
      <c r="F396" s="18">
        <v>155</v>
      </c>
      <c r="G396" s="18">
        <v>55032000</v>
      </c>
      <c r="H396" s="18" t="s">
        <v>307</v>
      </c>
      <c r="I396" s="27" t="s">
        <v>2</v>
      </c>
      <c r="J396" s="18">
        <v>0.5</v>
      </c>
      <c r="K396" s="33">
        <v>0.66</v>
      </c>
      <c r="L396" s="31">
        <f t="shared" si="18"/>
        <v>0.33</v>
      </c>
      <c r="M396" t="str">
        <f t="shared" si="19"/>
        <v>Low Value Product</v>
      </c>
      <c r="N396" t="str">
        <f t="shared" si="20"/>
        <v>Low Revenue Product</v>
      </c>
    </row>
    <row r="397" spans="1:14" x14ac:dyDescent="0.35">
      <c r="A397" s="19" t="s">
        <v>451</v>
      </c>
      <c r="B397" s="18" t="s">
        <v>14</v>
      </c>
      <c r="C397" s="18" t="s">
        <v>15</v>
      </c>
      <c r="D397" s="7">
        <v>250</v>
      </c>
      <c r="E397" s="18" t="s">
        <v>476</v>
      </c>
      <c r="F397" s="18">
        <v>155</v>
      </c>
      <c r="G397" s="18">
        <v>63041940</v>
      </c>
      <c r="H397" s="18" t="s">
        <v>74</v>
      </c>
      <c r="I397" s="28" t="s">
        <v>145</v>
      </c>
      <c r="J397" s="21">
        <v>8839</v>
      </c>
      <c r="K397" s="34">
        <v>0.32</v>
      </c>
      <c r="L397" s="31">
        <f t="shared" si="18"/>
        <v>2828.48</v>
      </c>
      <c r="M397" t="str">
        <f t="shared" si="19"/>
        <v>Low Value Product</v>
      </c>
      <c r="N397" t="str">
        <f t="shared" si="20"/>
        <v>Low Revenue Product</v>
      </c>
    </row>
    <row r="398" spans="1:14" x14ac:dyDescent="0.35">
      <c r="A398" s="19" t="s">
        <v>451</v>
      </c>
      <c r="B398" s="18" t="s">
        <v>11</v>
      </c>
      <c r="C398" s="18" t="s">
        <v>12</v>
      </c>
      <c r="D398" s="7">
        <v>643</v>
      </c>
      <c r="E398" s="18" t="s">
        <v>479</v>
      </c>
      <c r="F398" s="18">
        <v>151</v>
      </c>
      <c r="G398" s="18">
        <v>84663010</v>
      </c>
      <c r="H398" s="18" t="s">
        <v>604</v>
      </c>
      <c r="I398" s="27" t="s">
        <v>21</v>
      </c>
      <c r="J398" s="18">
        <v>2424</v>
      </c>
      <c r="K398" s="33">
        <v>0.25</v>
      </c>
      <c r="L398" s="31">
        <f t="shared" si="18"/>
        <v>606</v>
      </c>
      <c r="M398" t="str">
        <f t="shared" si="19"/>
        <v>Low Value Product</v>
      </c>
      <c r="N398" t="str">
        <f t="shared" si="20"/>
        <v>Low Revenue Product</v>
      </c>
    </row>
    <row r="399" spans="1:14" x14ac:dyDescent="0.35">
      <c r="A399" s="19" t="s">
        <v>451</v>
      </c>
      <c r="B399" s="18" t="s">
        <v>11</v>
      </c>
      <c r="C399" s="18" t="s">
        <v>12</v>
      </c>
      <c r="D399" s="7">
        <v>643</v>
      </c>
      <c r="E399" s="18" t="s">
        <v>479</v>
      </c>
      <c r="F399" s="18">
        <v>151</v>
      </c>
      <c r="G399" s="18">
        <v>29054500</v>
      </c>
      <c r="H399" s="18" t="s">
        <v>214</v>
      </c>
      <c r="I399" s="28" t="s">
        <v>2</v>
      </c>
      <c r="J399" s="21">
        <v>60</v>
      </c>
      <c r="K399" s="34">
        <v>0.05</v>
      </c>
      <c r="L399" s="31">
        <f t="shared" si="18"/>
        <v>3</v>
      </c>
      <c r="M399" t="str">
        <f t="shared" si="19"/>
        <v>Low Value Product</v>
      </c>
      <c r="N399" t="str">
        <f t="shared" si="20"/>
        <v>Low Revenue Product</v>
      </c>
    </row>
    <row r="400" spans="1:14" x14ac:dyDescent="0.35">
      <c r="A400" s="19" t="s">
        <v>451</v>
      </c>
      <c r="B400" s="18" t="s">
        <v>134</v>
      </c>
      <c r="C400" s="18" t="s">
        <v>135</v>
      </c>
      <c r="D400" s="7">
        <v>300</v>
      </c>
      <c r="E400" s="18" t="s">
        <v>477</v>
      </c>
      <c r="F400" s="18">
        <v>39</v>
      </c>
      <c r="G400" s="18">
        <v>87168010</v>
      </c>
      <c r="H400" s="18" t="s">
        <v>616</v>
      </c>
      <c r="I400" s="27" t="s">
        <v>2</v>
      </c>
      <c r="J400" s="18">
        <v>115</v>
      </c>
      <c r="K400" s="33">
        <v>0.04</v>
      </c>
      <c r="L400" s="31">
        <f t="shared" si="18"/>
        <v>4.6000000000000005</v>
      </c>
      <c r="M400" t="str">
        <f t="shared" si="19"/>
        <v>Low Value Product</v>
      </c>
      <c r="N400" t="str">
        <f t="shared" si="20"/>
        <v>Low Revenue Product</v>
      </c>
    </row>
    <row r="401" spans="1:14" x14ac:dyDescent="0.35">
      <c r="A401" s="19" t="s">
        <v>451</v>
      </c>
      <c r="B401" s="18" t="s">
        <v>44</v>
      </c>
      <c r="C401" s="18" t="s">
        <v>45</v>
      </c>
      <c r="D401" s="7">
        <v>56</v>
      </c>
      <c r="E401" s="18" t="s">
        <v>476</v>
      </c>
      <c r="F401" s="18">
        <v>155</v>
      </c>
      <c r="G401" s="18">
        <v>29333918</v>
      </c>
      <c r="H401" s="18" t="s">
        <v>333</v>
      </c>
      <c r="I401" s="28" t="s">
        <v>2</v>
      </c>
      <c r="J401" s="21">
        <v>4975</v>
      </c>
      <c r="K401" s="34">
        <v>0.19</v>
      </c>
      <c r="L401" s="31">
        <f t="shared" si="18"/>
        <v>945.25</v>
      </c>
      <c r="M401" t="str">
        <f t="shared" si="19"/>
        <v>Low Value Product</v>
      </c>
      <c r="N401" t="str">
        <f t="shared" si="20"/>
        <v>Low Revenue Product</v>
      </c>
    </row>
    <row r="402" spans="1:14" x14ac:dyDescent="0.35">
      <c r="A402" s="15" t="s">
        <v>451</v>
      </c>
      <c r="B402" s="16" t="s">
        <v>22</v>
      </c>
      <c r="C402" s="16" t="s">
        <v>23</v>
      </c>
      <c r="D402" s="17">
        <v>380</v>
      </c>
      <c r="E402" s="18" t="s">
        <v>477</v>
      </c>
      <c r="F402" s="16">
        <v>39</v>
      </c>
      <c r="G402" s="16">
        <v>96099030</v>
      </c>
      <c r="H402" s="16" t="s">
        <v>4</v>
      </c>
      <c r="I402" s="27" t="s">
        <v>21</v>
      </c>
      <c r="J402" s="18">
        <v>2</v>
      </c>
      <c r="K402" s="33">
        <v>0</v>
      </c>
      <c r="L402" s="31">
        <f t="shared" si="18"/>
        <v>0</v>
      </c>
      <c r="M402" t="str">
        <f t="shared" si="19"/>
        <v>Low Value Product</v>
      </c>
      <c r="N402" t="str">
        <f t="shared" si="20"/>
        <v>Low Revenue Product</v>
      </c>
    </row>
    <row r="403" spans="1:14" x14ac:dyDescent="0.35">
      <c r="A403" s="20" t="s">
        <v>451</v>
      </c>
      <c r="B403" s="21" t="s">
        <v>370</v>
      </c>
      <c r="C403" s="21" t="s">
        <v>0</v>
      </c>
      <c r="D403" s="8">
        <v>826</v>
      </c>
      <c r="E403" s="18" t="s">
        <v>478</v>
      </c>
      <c r="F403" s="21">
        <v>154</v>
      </c>
      <c r="G403" s="21">
        <v>20079930</v>
      </c>
      <c r="H403" s="21" t="s">
        <v>1</v>
      </c>
      <c r="I403" s="28" t="s">
        <v>2</v>
      </c>
      <c r="J403" s="21">
        <v>1925</v>
      </c>
      <c r="K403" s="34">
        <v>0.06</v>
      </c>
      <c r="L403" s="31">
        <f t="shared" si="18"/>
        <v>115.5</v>
      </c>
      <c r="M403" t="str">
        <f t="shared" si="19"/>
        <v>Low Value Product</v>
      </c>
      <c r="N403" t="str">
        <f t="shared" si="20"/>
        <v>Low Revenue Product</v>
      </c>
    </row>
    <row r="404" spans="1:14" x14ac:dyDescent="0.35">
      <c r="A404" s="15" t="s">
        <v>451</v>
      </c>
      <c r="B404" s="16" t="s">
        <v>370</v>
      </c>
      <c r="C404" s="16" t="s">
        <v>0</v>
      </c>
      <c r="D404" s="17">
        <v>826</v>
      </c>
      <c r="E404" s="18" t="s">
        <v>478</v>
      </c>
      <c r="F404" s="16">
        <v>154</v>
      </c>
      <c r="G404" s="16">
        <v>45041010</v>
      </c>
      <c r="H404" s="16" t="s">
        <v>158</v>
      </c>
      <c r="I404" s="27" t="s">
        <v>2</v>
      </c>
      <c r="J404" s="18">
        <v>789</v>
      </c>
      <c r="K404" s="33">
        <v>7.0000000000000007E-2</v>
      </c>
      <c r="L404" s="31">
        <f t="shared" si="18"/>
        <v>55.230000000000004</v>
      </c>
      <c r="M404" t="str">
        <f t="shared" si="19"/>
        <v>Low Value Product</v>
      </c>
      <c r="N404" t="str">
        <f t="shared" si="20"/>
        <v>Low Revenue Product</v>
      </c>
    </row>
    <row r="405" spans="1:14" x14ac:dyDescent="0.35">
      <c r="A405" s="20" t="s">
        <v>451</v>
      </c>
      <c r="B405" s="21" t="s">
        <v>369</v>
      </c>
      <c r="C405" s="21" t="s">
        <v>3</v>
      </c>
      <c r="D405" s="8">
        <v>528</v>
      </c>
      <c r="E405" s="18" t="s">
        <v>476</v>
      </c>
      <c r="F405" s="21">
        <v>155</v>
      </c>
      <c r="G405" s="21">
        <v>73072200</v>
      </c>
      <c r="H405" s="21" t="s">
        <v>624</v>
      </c>
      <c r="I405" s="28" t="s">
        <v>2</v>
      </c>
      <c r="J405" s="21">
        <v>6426</v>
      </c>
      <c r="K405" s="34">
        <v>0.08</v>
      </c>
      <c r="L405" s="31">
        <f t="shared" si="18"/>
        <v>514.08000000000004</v>
      </c>
      <c r="M405" t="str">
        <f t="shared" si="19"/>
        <v>Low Value Product</v>
      </c>
      <c r="N405" t="str">
        <f t="shared" si="20"/>
        <v>Low Revenue Product</v>
      </c>
    </row>
    <row r="406" spans="1:14" x14ac:dyDescent="0.35">
      <c r="A406" s="15" t="s">
        <v>451</v>
      </c>
      <c r="B406" s="16" t="s">
        <v>22</v>
      </c>
      <c r="C406" s="16" t="s">
        <v>23</v>
      </c>
      <c r="D406" s="17">
        <v>380</v>
      </c>
      <c r="E406" s="18" t="s">
        <v>477</v>
      </c>
      <c r="F406" s="16">
        <v>39</v>
      </c>
      <c r="G406" s="16">
        <v>71039951</v>
      </c>
      <c r="H406" s="16" t="s">
        <v>291</v>
      </c>
      <c r="I406" s="27" t="s">
        <v>21</v>
      </c>
      <c r="J406" s="18">
        <v>283</v>
      </c>
      <c r="K406" s="33">
        <v>0.56000000000000005</v>
      </c>
      <c r="L406" s="31">
        <f t="shared" si="18"/>
        <v>158.48000000000002</v>
      </c>
      <c r="M406" t="str">
        <f t="shared" si="19"/>
        <v>Low Value Product</v>
      </c>
      <c r="N406" t="str">
        <f t="shared" si="20"/>
        <v>Low Revenue Product</v>
      </c>
    </row>
    <row r="407" spans="1:14" x14ac:dyDescent="0.35">
      <c r="A407" s="19" t="s">
        <v>452</v>
      </c>
      <c r="B407" s="18" t="s">
        <v>8</v>
      </c>
      <c r="C407" s="18" t="s">
        <v>9</v>
      </c>
      <c r="D407" s="7">
        <v>348</v>
      </c>
      <c r="E407" s="18" t="s">
        <v>479</v>
      </c>
      <c r="F407" s="18">
        <v>151</v>
      </c>
      <c r="G407" s="18">
        <v>90183920</v>
      </c>
      <c r="H407" s="18" t="s">
        <v>196</v>
      </c>
      <c r="I407" s="28" t="s">
        <v>2</v>
      </c>
      <c r="J407" s="21">
        <v>2.2799999999999998</v>
      </c>
      <c r="K407" s="34">
        <v>29.85</v>
      </c>
      <c r="L407" s="31">
        <f t="shared" si="18"/>
        <v>68.057999999999993</v>
      </c>
      <c r="M407" t="str">
        <f t="shared" si="19"/>
        <v>Low Value Product</v>
      </c>
      <c r="N407" t="str">
        <f t="shared" si="20"/>
        <v>Low Revenue Product</v>
      </c>
    </row>
    <row r="408" spans="1:14" x14ac:dyDescent="0.35">
      <c r="A408" s="15" t="s">
        <v>452</v>
      </c>
      <c r="B408" s="16" t="s">
        <v>48</v>
      </c>
      <c r="C408" s="16" t="s">
        <v>49</v>
      </c>
      <c r="D408" s="17">
        <v>246</v>
      </c>
      <c r="E408" s="18" t="s">
        <v>478</v>
      </c>
      <c r="F408" s="16">
        <v>154</v>
      </c>
      <c r="G408" s="16">
        <v>57050023</v>
      </c>
      <c r="H408" s="16" t="s">
        <v>258</v>
      </c>
      <c r="I408" s="27" t="s">
        <v>2</v>
      </c>
      <c r="J408" s="18">
        <v>0.2</v>
      </c>
      <c r="K408" s="33">
        <v>46.08</v>
      </c>
      <c r="L408" s="31">
        <f t="shared" si="18"/>
        <v>9.2159999999999993</v>
      </c>
      <c r="M408" t="str">
        <f t="shared" si="19"/>
        <v>Low Value Product</v>
      </c>
      <c r="N408" t="str">
        <f t="shared" si="20"/>
        <v>Low Revenue Product</v>
      </c>
    </row>
    <row r="409" spans="1:14" x14ac:dyDescent="0.35">
      <c r="A409" s="20" t="s">
        <v>452</v>
      </c>
      <c r="B409" s="21" t="s">
        <v>60</v>
      </c>
      <c r="C409" s="21" t="s">
        <v>61</v>
      </c>
      <c r="D409" s="8">
        <v>724</v>
      </c>
      <c r="E409" s="18" t="s">
        <v>477</v>
      </c>
      <c r="F409" s="21">
        <v>39</v>
      </c>
      <c r="G409" s="21">
        <v>29041090</v>
      </c>
      <c r="H409" s="21" t="s">
        <v>496</v>
      </c>
      <c r="I409" s="28" t="s">
        <v>2</v>
      </c>
      <c r="J409" s="21">
        <v>78.5</v>
      </c>
      <c r="K409" s="34">
        <v>71.72</v>
      </c>
      <c r="L409" s="31">
        <f t="shared" si="18"/>
        <v>5630.0199999999995</v>
      </c>
      <c r="M409" t="str">
        <f t="shared" si="19"/>
        <v>Low Value Product</v>
      </c>
      <c r="N409" t="str">
        <f t="shared" si="20"/>
        <v>Low Revenue Product</v>
      </c>
    </row>
    <row r="410" spans="1:14" x14ac:dyDescent="0.35">
      <c r="A410" s="19" t="s">
        <v>452</v>
      </c>
      <c r="B410" s="18" t="s">
        <v>86</v>
      </c>
      <c r="C410" s="18" t="s">
        <v>87</v>
      </c>
      <c r="D410" s="7">
        <v>40</v>
      </c>
      <c r="E410" s="18" t="s">
        <v>476</v>
      </c>
      <c r="F410" s="18">
        <v>155</v>
      </c>
      <c r="G410" s="18">
        <v>29052900</v>
      </c>
      <c r="H410" s="18" t="s">
        <v>178</v>
      </c>
      <c r="I410" s="27" t="s">
        <v>21</v>
      </c>
      <c r="J410" s="18">
        <v>0.04</v>
      </c>
      <c r="K410" s="33">
        <v>0.97</v>
      </c>
      <c r="L410" s="31">
        <f t="shared" si="18"/>
        <v>3.8800000000000001E-2</v>
      </c>
      <c r="M410" t="str">
        <f t="shared" si="19"/>
        <v>Low Value Product</v>
      </c>
      <c r="N410" t="str">
        <f t="shared" si="20"/>
        <v>Low Revenue Product</v>
      </c>
    </row>
    <row r="411" spans="1:14" x14ac:dyDescent="0.35">
      <c r="A411" s="20" t="s">
        <v>452</v>
      </c>
      <c r="B411" s="21" t="s">
        <v>55</v>
      </c>
      <c r="C411" s="21" t="s">
        <v>56</v>
      </c>
      <c r="D411" s="8">
        <v>276</v>
      </c>
      <c r="E411" s="18" t="s">
        <v>476</v>
      </c>
      <c r="F411" s="21">
        <v>155</v>
      </c>
      <c r="G411" s="21">
        <v>84439100</v>
      </c>
      <c r="H411" s="21" t="s">
        <v>312</v>
      </c>
      <c r="I411" s="28" t="s">
        <v>17</v>
      </c>
      <c r="J411" s="21">
        <v>2.56</v>
      </c>
      <c r="K411" s="34">
        <v>26.86</v>
      </c>
      <c r="L411" s="31">
        <f t="shared" si="18"/>
        <v>68.761600000000001</v>
      </c>
      <c r="M411" t="str">
        <f t="shared" si="19"/>
        <v>Low Value Product</v>
      </c>
      <c r="N411" t="str">
        <f t="shared" si="20"/>
        <v>Low Revenue Product</v>
      </c>
    </row>
    <row r="412" spans="1:14" x14ac:dyDescent="0.35">
      <c r="A412" s="19" t="s">
        <v>453</v>
      </c>
      <c r="B412" s="18" t="s">
        <v>22</v>
      </c>
      <c r="C412" s="18" t="s">
        <v>23</v>
      </c>
      <c r="D412" s="7">
        <v>380</v>
      </c>
      <c r="E412" s="18" t="s">
        <v>477</v>
      </c>
      <c r="F412" s="18">
        <v>39</v>
      </c>
      <c r="G412" s="18">
        <v>32041976</v>
      </c>
      <c r="H412" s="18" t="s">
        <v>68</v>
      </c>
      <c r="I412" s="27" t="s">
        <v>2</v>
      </c>
      <c r="J412" s="18">
        <v>57.42</v>
      </c>
      <c r="K412" s="33">
        <v>372.68</v>
      </c>
      <c r="L412" s="31">
        <f t="shared" si="18"/>
        <v>21399.285599999999</v>
      </c>
      <c r="M412" t="str">
        <f t="shared" si="19"/>
        <v>Low Value Product</v>
      </c>
      <c r="N412" t="str">
        <f t="shared" si="20"/>
        <v>Low Revenue Product</v>
      </c>
    </row>
    <row r="413" spans="1:14" x14ac:dyDescent="0.35">
      <c r="A413" s="20" t="s">
        <v>454</v>
      </c>
      <c r="B413" s="21" t="s">
        <v>22</v>
      </c>
      <c r="C413" s="21" t="s">
        <v>23</v>
      </c>
      <c r="D413" s="8">
        <v>380</v>
      </c>
      <c r="E413" s="18" t="s">
        <v>477</v>
      </c>
      <c r="F413" s="21">
        <v>39</v>
      </c>
      <c r="G413" s="21">
        <v>85372000</v>
      </c>
      <c r="H413" s="21" t="s">
        <v>353</v>
      </c>
      <c r="I413" s="28" t="s">
        <v>21</v>
      </c>
      <c r="J413" s="21">
        <v>5.49</v>
      </c>
      <c r="K413" s="34">
        <v>26.51</v>
      </c>
      <c r="L413" s="31">
        <f t="shared" si="18"/>
        <v>145.53990000000002</v>
      </c>
      <c r="M413" t="str">
        <f t="shared" si="19"/>
        <v>Low Value Product</v>
      </c>
      <c r="N413" t="str">
        <f t="shared" si="20"/>
        <v>Low Revenue Product</v>
      </c>
    </row>
    <row r="414" spans="1:14" x14ac:dyDescent="0.35">
      <c r="A414" s="19" t="s">
        <v>454</v>
      </c>
      <c r="B414" s="18" t="s">
        <v>369</v>
      </c>
      <c r="C414" s="18" t="s">
        <v>3</v>
      </c>
      <c r="D414" s="7">
        <v>528</v>
      </c>
      <c r="E414" s="18" t="s">
        <v>476</v>
      </c>
      <c r="F414" s="18">
        <v>155</v>
      </c>
      <c r="G414" s="18">
        <v>40132000</v>
      </c>
      <c r="H414" s="18" t="s">
        <v>194</v>
      </c>
      <c r="I414" s="27" t="s">
        <v>21</v>
      </c>
      <c r="J414" s="18">
        <v>133.04</v>
      </c>
      <c r="K414" s="33">
        <v>277.70999999999998</v>
      </c>
      <c r="L414" s="31">
        <f t="shared" si="18"/>
        <v>36946.538399999998</v>
      </c>
      <c r="M414" t="str">
        <f t="shared" si="19"/>
        <v>Low Value Product</v>
      </c>
      <c r="N414" t="str">
        <f t="shared" si="20"/>
        <v>Low Revenue Product</v>
      </c>
    </row>
    <row r="415" spans="1:14" x14ac:dyDescent="0.35">
      <c r="A415" s="19" t="s">
        <v>454</v>
      </c>
      <c r="B415" s="18" t="s">
        <v>11</v>
      </c>
      <c r="C415" s="18" t="s">
        <v>12</v>
      </c>
      <c r="D415" s="7">
        <v>643</v>
      </c>
      <c r="E415" s="18" t="s">
        <v>479</v>
      </c>
      <c r="F415" s="18">
        <v>151</v>
      </c>
      <c r="G415" s="18">
        <v>62114300</v>
      </c>
      <c r="H415" s="18" t="s">
        <v>91</v>
      </c>
      <c r="I415" s="28" t="s">
        <v>2</v>
      </c>
      <c r="J415" s="21">
        <v>7.33</v>
      </c>
      <c r="K415" s="34">
        <v>59.29</v>
      </c>
      <c r="L415" s="31">
        <f t="shared" si="18"/>
        <v>434.59570000000002</v>
      </c>
      <c r="M415" t="str">
        <f t="shared" si="19"/>
        <v>Low Value Product</v>
      </c>
      <c r="N415" t="str">
        <f t="shared" si="20"/>
        <v>Low Revenue Product</v>
      </c>
    </row>
    <row r="416" spans="1:14" x14ac:dyDescent="0.35">
      <c r="A416" s="15" t="s">
        <v>454</v>
      </c>
      <c r="B416" s="16" t="s">
        <v>29</v>
      </c>
      <c r="C416" s="16" t="s">
        <v>30</v>
      </c>
      <c r="D416" s="17">
        <v>191</v>
      </c>
      <c r="E416" s="18" t="s">
        <v>477</v>
      </c>
      <c r="F416" s="16">
        <v>39</v>
      </c>
      <c r="G416" s="16">
        <v>85189000</v>
      </c>
      <c r="H416" s="16" t="s">
        <v>327</v>
      </c>
      <c r="I416" s="27" t="s">
        <v>21</v>
      </c>
      <c r="J416" s="18">
        <v>158.38999999999999</v>
      </c>
      <c r="K416" s="33">
        <v>106.81</v>
      </c>
      <c r="L416" s="31">
        <f t="shared" si="18"/>
        <v>16917.635899999997</v>
      </c>
      <c r="M416" t="str">
        <f t="shared" si="19"/>
        <v>Low Value Product</v>
      </c>
      <c r="N416" t="str">
        <f t="shared" si="20"/>
        <v>Low Revenue Product</v>
      </c>
    </row>
    <row r="417" spans="1:14" x14ac:dyDescent="0.35">
      <c r="A417" s="20" t="s">
        <v>454</v>
      </c>
      <c r="B417" s="21" t="s">
        <v>60</v>
      </c>
      <c r="C417" s="21" t="s">
        <v>61</v>
      </c>
      <c r="D417" s="8">
        <v>724</v>
      </c>
      <c r="E417" s="18" t="s">
        <v>477</v>
      </c>
      <c r="F417" s="21">
        <v>39</v>
      </c>
      <c r="G417" s="21">
        <v>33012934</v>
      </c>
      <c r="H417" s="21" t="s">
        <v>317</v>
      </c>
      <c r="I417" s="28" t="s">
        <v>2</v>
      </c>
      <c r="J417" s="21">
        <v>0.02</v>
      </c>
      <c r="K417" s="34">
        <v>1.52</v>
      </c>
      <c r="L417" s="31">
        <f t="shared" si="18"/>
        <v>3.04E-2</v>
      </c>
      <c r="M417" t="str">
        <f t="shared" si="19"/>
        <v>Low Value Product</v>
      </c>
      <c r="N417" t="str">
        <f t="shared" si="20"/>
        <v>Low Revenue Product</v>
      </c>
    </row>
    <row r="418" spans="1:14" x14ac:dyDescent="0.35">
      <c r="A418" s="19" t="s">
        <v>454</v>
      </c>
      <c r="B418" s="18" t="s">
        <v>44</v>
      </c>
      <c r="C418" s="18" t="s">
        <v>45</v>
      </c>
      <c r="D418" s="7">
        <v>56</v>
      </c>
      <c r="E418" s="18" t="s">
        <v>476</v>
      </c>
      <c r="F418" s="18">
        <v>155</v>
      </c>
      <c r="G418" s="18">
        <v>30049091</v>
      </c>
      <c r="H418" s="18" t="s">
        <v>230</v>
      </c>
      <c r="I418" s="27" t="s">
        <v>2</v>
      </c>
      <c r="J418" s="18">
        <v>0.72</v>
      </c>
      <c r="K418" s="33">
        <v>35.06</v>
      </c>
      <c r="L418" s="31">
        <f t="shared" si="18"/>
        <v>25.243200000000002</v>
      </c>
      <c r="M418" t="str">
        <f t="shared" si="19"/>
        <v>Low Value Product</v>
      </c>
      <c r="N418" t="str">
        <f t="shared" si="20"/>
        <v>Low Revenue Product</v>
      </c>
    </row>
    <row r="419" spans="1:14" x14ac:dyDescent="0.35">
      <c r="A419" s="20" t="s">
        <v>454</v>
      </c>
      <c r="B419" s="21" t="s">
        <v>75</v>
      </c>
      <c r="C419" s="21" t="s">
        <v>76</v>
      </c>
      <c r="D419" s="8">
        <v>578</v>
      </c>
      <c r="E419" s="18" t="s">
        <v>478</v>
      </c>
      <c r="F419" s="21">
        <v>154</v>
      </c>
      <c r="G419" s="21">
        <v>55081000</v>
      </c>
      <c r="H419" s="21" t="s">
        <v>605</v>
      </c>
      <c r="I419" s="28" t="s">
        <v>2</v>
      </c>
      <c r="J419" s="21">
        <v>0</v>
      </c>
      <c r="K419" s="34">
        <v>7.0000000000000007E-2</v>
      </c>
      <c r="L419" s="31">
        <f t="shared" si="18"/>
        <v>0</v>
      </c>
      <c r="M419" t="str">
        <f t="shared" si="19"/>
        <v>Low Value Product</v>
      </c>
      <c r="N419" t="str">
        <f t="shared" si="20"/>
        <v>Low Revenue Product</v>
      </c>
    </row>
    <row r="420" spans="1:14" x14ac:dyDescent="0.35">
      <c r="A420" s="15" t="s">
        <v>455</v>
      </c>
      <c r="B420" s="16" t="s">
        <v>22</v>
      </c>
      <c r="C420" s="16" t="s">
        <v>23</v>
      </c>
      <c r="D420" s="17">
        <v>380</v>
      </c>
      <c r="E420" s="18" t="s">
        <v>477</v>
      </c>
      <c r="F420" s="16">
        <v>39</v>
      </c>
      <c r="G420" s="16">
        <v>48191010</v>
      </c>
      <c r="H420" s="16" t="s">
        <v>97</v>
      </c>
      <c r="I420" s="27" t="s">
        <v>2</v>
      </c>
      <c r="J420" s="18">
        <v>2.2000000000000002</v>
      </c>
      <c r="K420" s="33">
        <v>13.16</v>
      </c>
      <c r="L420" s="31">
        <f t="shared" si="18"/>
        <v>28.952000000000002</v>
      </c>
      <c r="M420" t="str">
        <f t="shared" si="19"/>
        <v>Low Value Product</v>
      </c>
      <c r="N420" t="str">
        <f t="shared" si="20"/>
        <v>Low Revenue Product</v>
      </c>
    </row>
    <row r="421" spans="1:14" x14ac:dyDescent="0.35">
      <c r="A421" s="19" t="s">
        <v>455</v>
      </c>
      <c r="B421" s="18" t="s">
        <v>22</v>
      </c>
      <c r="C421" s="18" t="s">
        <v>23</v>
      </c>
      <c r="D421" s="7">
        <v>380</v>
      </c>
      <c r="E421" s="18" t="s">
        <v>477</v>
      </c>
      <c r="F421" s="18">
        <v>39</v>
      </c>
      <c r="G421" s="18">
        <v>9011129</v>
      </c>
      <c r="H421" s="18" t="s">
        <v>308</v>
      </c>
      <c r="I421" s="28" t="s">
        <v>21</v>
      </c>
      <c r="J421" s="21">
        <v>116.82</v>
      </c>
      <c r="K421" s="34">
        <v>82.37</v>
      </c>
      <c r="L421" s="31">
        <f t="shared" si="18"/>
        <v>9622.4634000000005</v>
      </c>
      <c r="M421" t="str">
        <f t="shared" si="19"/>
        <v>Low Value Product</v>
      </c>
      <c r="N421" t="str">
        <f t="shared" si="20"/>
        <v>Low Revenue Product</v>
      </c>
    </row>
    <row r="422" spans="1:14" x14ac:dyDescent="0.35">
      <c r="A422" s="15" t="s">
        <v>455</v>
      </c>
      <c r="B422" s="16" t="s">
        <v>134</v>
      </c>
      <c r="C422" s="16" t="s">
        <v>135</v>
      </c>
      <c r="D422" s="17">
        <v>300</v>
      </c>
      <c r="E422" s="18" t="s">
        <v>477</v>
      </c>
      <c r="F422" s="16">
        <v>39</v>
      </c>
      <c r="G422" s="16">
        <v>42022220</v>
      </c>
      <c r="H422" s="16" t="s">
        <v>171</v>
      </c>
      <c r="I422" s="27" t="s">
        <v>2</v>
      </c>
      <c r="J422" s="18">
        <v>34.5</v>
      </c>
      <c r="K422" s="33">
        <v>58.39</v>
      </c>
      <c r="L422" s="31">
        <f t="shared" si="18"/>
        <v>2014.4549999999999</v>
      </c>
      <c r="M422" t="str">
        <f t="shared" si="19"/>
        <v>Low Value Product</v>
      </c>
      <c r="N422" t="str">
        <f t="shared" si="20"/>
        <v>Low Revenue Product</v>
      </c>
    </row>
    <row r="423" spans="1:14" x14ac:dyDescent="0.35">
      <c r="A423" s="19" t="s">
        <v>455</v>
      </c>
      <c r="B423" s="18" t="s">
        <v>22</v>
      </c>
      <c r="C423" s="18" t="s">
        <v>23</v>
      </c>
      <c r="D423" s="7">
        <v>380</v>
      </c>
      <c r="E423" s="18" t="s">
        <v>477</v>
      </c>
      <c r="F423" s="18">
        <v>39</v>
      </c>
      <c r="G423" s="18">
        <v>28539090</v>
      </c>
      <c r="H423" s="18" t="s">
        <v>10</v>
      </c>
      <c r="I423" s="28" t="s">
        <v>2</v>
      </c>
      <c r="J423" s="21">
        <v>3.52</v>
      </c>
      <c r="K423" s="34">
        <v>4.26</v>
      </c>
      <c r="L423" s="31">
        <f t="shared" si="18"/>
        <v>14.995199999999999</v>
      </c>
      <c r="M423" t="str">
        <f t="shared" si="19"/>
        <v>Low Value Product</v>
      </c>
      <c r="N423" t="str">
        <f t="shared" si="20"/>
        <v>Low Revenue Product</v>
      </c>
    </row>
    <row r="424" spans="1:14" x14ac:dyDescent="0.35">
      <c r="A424" s="19" t="s">
        <v>455</v>
      </c>
      <c r="B424" s="18" t="s">
        <v>78</v>
      </c>
      <c r="C424" s="18" t="s">
        <v>79</v>
      </c>
      <c r="D424" s="7">
        <v>208</v>
      </c>
      <c r="E424" s="18" t="s">
        <v>478</v>
      </c>
      <c r="F424" s="18">
        <v>154</v>
      </c>
      <c r="G424" s="18">
        <v>30061020</v>
      </c>
      <c r="H424" s="18" t="s">
        <v>268</v>
      </c>
      <c r="I424" s="27" t="s">
        <v>2</v>
      </c>
      <c r="J424" s="18">
        <v>0</v>
      </c>
      <c r="K424" s="33">
        <v>0.28999999999999998</v>
      </c>
      <c r="L424" s="31">
        <f t="shared" si="18"/>
        <v>0</v>
      </c>
      <c r="M424" t="str">
        <f t="shared" si="19"/>
        <v>Low Value Product</v>
      </c>
      <c r="N424" t="str">
        <f t="shared" si="20"/>
        <v>Low Revenue Product</v>
      </c>
    </row>
    <row r="425" spans="1:14" x14ac:dyDescent="0.35">
      <c r="A425" s="19" t="s">
        <v>456</v>
      </c>
      <c r="B425" s="18" t="s">
        <v>14</v>
      </c>
      <c r="C425" s="18" t="s">
        <v>15</v>
      </c>
      <c r="D425" s="7">
        <v>250</v>
      </c>
      <c r="E425" s="18" t="s">
        <v>476</v>
      </c>
      <c r="F425" s="18">
        <v>155</v>
      </c>
      <c r="G425" s="18">
        <v>30041060</v>
      </c>
      <c r="H425" s="18" t="s">
        <v>339</v>
      </c>
      <c r="I425" s="28" t="s">
        <v>2</v>
      </c>
      <c r="J425" s="21">
        <v>4810</v>
      </c>
      <c r="K425" s="34">
        <v>2654.55</v>
      </c>
      <c r="L425" s="31">
        <f t="shared" si="18"/>
        <v>12768385.5</v>
      </c>
      <c r="M425" t="str">
        <f t="shared" si="19"/>
        <v>High Value Product</v>
      </c>
      <c r="N425" t="str">
        <f t="shared" si="20"/>
        <v>High Revenue Product</v>
      </c>
    </row>
    <row r="426" spans="1:14" x14ac:dyDescent="0.35">
      <c r="A426" s="15" t="s">
        <v>456</v>
      </c>
      <c r="B426" s="16" t="s">
        <v>369</v>
      </c>
      <c r="C426" s="16" t="s">
        <v>3</v>
      </c>
      <c r="D426" s="17">
        <v>528</v>
      </c>
      <c r="E426" s="18" t="s">
        <v>476</v>
      </c>
      <c r="F426" s="16">
        <v>155</v>
      </c>
      <c r="G426" s="16">
        <v>30041030</v>
      </c>
      <c r="H426" s="16" t="s">
        <v>227</v>
      </c>
      <c r="I426" s="27" t="s">
        <v>17</v>
      </c>
      <c r="J426" s="18">
        <v>19.739999999999998</v>
      </c>
      <c r="K426" s="33">
        <v>79.010000000000005</v>
      </c>
      <c r="L426" s="31">
        <f t="shared" si="18"/>
        <v>1559.6574000000001</v>
      </c>
      <c r="M426" t="str">
        <f t="shared" si="19"/>
        <v>Low Value Product</v>
      </c>
      <c r="N426" t="str">
        <f t="shared" si="20"/>
        <v>Low Revenue Product</v>
      </c>
    </row>
    <row r="427" spans="1:14" x14ac:dyDescent="0.35">
      <c r="A427" s="20" t="s">
        <v>456</v>
      </c>
      <c r="B427" s="21" t="s">
        <v>22</v>
      </c>
      <c r="C427" s="21" t="s">
        <v>23</v>
      </c>
      <c r="D427" s="8">
        <v>380</v>
      </c>
      <c r="E427" s="18" t="s">
        <v>477</v>
      </c>
      <c r="F427" s="21">
        <v>39</v>
      </c>
      <c r="G427" s="21">
        <v>72023000</v>
      </c>
      <c r="H427" s="21" t="s">
        <v>260</v>
      </c>
      <c r="I427" s="28" t="s">
        <v>2</v>
      </c>
      <c r="J427" s="21">
        <v>8</v>
      </c>
      <c r="K427" s="34">
        <v>46.64</v>
      </c>
      <c r="L427" s="31">
        <f t="shared" si="18"/>
        <v>373.12</v>
      </c>
      <c r="M427" t="str">
        <f t="shared" si="19"/>
        <v>Low Value Product</v>
      </c>
      <c r="N427" t="str">
        <f t="shared" si="20"/>
        <v>Low Revenue Product</v>
      </c>
    </row>
    <row r="428" spans="1:14" x14ac:dyDescent="0.35">
      <c r="A428" s="19" t="s">
        <v>456</v>
      </c>
      <c r="B428" s="18" t="s">
        <v>370</v>
      </c>
      <c r="C428" s="18" t="s">
        <v>0</v>
      </c>
      <c r="D428" s="7">
        <v>826</v>
      </c>
      <c r="E428" s="18" t="s">
        <v>478</v>
      </c>
      <c r="F428" s="18">
        <v>154</v>
      </c>
      <c r="G428" s="18">
        <v>69079010</v>
      </c>
      <c r="H428" s="18" t="s">
        <v>615</v>
      </c>
      <c r="I428" s="27" t="s">
        <v>2</v>
      </c>
      <c r="J428" s="18">
        <v>1.19</v>
      </c>
      <c r="K428" s="33">
        <v>12.09</v>
      </c>
      <c r="L428" s="31">
        <f t="shared" si="18"/>
        <v>14.387099999999998</v>
      </c>
      <c r="M428" t="str">
        <f t="shared" si="19"/>
        <v>Low Value Product</v>
      </c>
      <c r="N428" t="str">
        <f t="shared" si="20"/>
        <v>Low Revenue Product</v>
      </c>
    </row>
    <row r="429" spans="1:14" x14ac:dyDescent="0.35">
      <c r="A429" s="20" t="s">
        <v>457</v>
      </c>
      <c r="B429" s="21" t="s">
        <v>14</v>
      </c>
      <c r="C429" s="21" t="s">
        <v>15</v>
      </c>
      <c r="D429" s="8">
        <v>250</v>
      </c>
      <c r="E429" s="18" t="s">
        <v>476</v>
      </c>
      <c r="F429" s="21">
        <v>155</v>
      </c>
      <c r="G429" s="21">
        <v>90138010</v>
      </c>
      <c r="H429" s="21" t="s">
        <v>518</v>
      </c>
      <c r="I429" s="28" t="s">
        <v>21</v>
      </c>
      <c r="J429" s="21">
        <v>0.02</v>
      </c>
      <c r="K429" s="34">
        <v>4073.53</v>
      </c>
      <c r="L429" s="31">
        <f t="shared" si="18"/>
        <v>81.470600000000005</v>
      </c>
      <c r="M429" t="str">
        <f t="shared" si="19"/>
        <v>High Value Product</v>
      </c>
      <c r="N429" t="str">
        <f t="shared" si="20"/>
        <v>Low Revenue Product</v>
      </c>
    </row>
    <row r="430" spans="1:14" x14ac:dyDescent="0.35">
      <c r="A430" s="19" t="s">
        <v>457</v>
      </c>
      <c r="B430" s="18" t="s">
        <v>370</v>
      </c>
      <c r="C430" s="18" t="s">
        <v>0</v>
      </c>
      <c r="D430" s="7">
        <v>826</v>
      </c>
      <c r="E430" s="18" t="s">
        <v>478</v>
      </c>
      <c r="F430" s="18">
        <v>154</v>
      </c>
      <c r="G430" s="18">
        <v>23040030</v>
      </c>
      <c r="H430" s="18" t="s">
        <v>306</v>
      </c>
      <c r="I430" s="27" t="s">
        <v>2</v>
      </c>
      <c r="J430" s="18">
        <v>646</v>
      </c>
      <c r="K430" s="33">
        <v>233.73</v>
      </c>
      <c r="L430" s="31">
        <f t="shared" si="18"/>
        <v>150989.57999999999</v>
      </c>
      <c r="M430" t="str">
        <f t="shared" si="19"/>
        <v>Low Value Product</v>
      </c>
      <c r="N430" t="str">
        <f t="shared" si="20"/>
        <v>High Revenue Product</v>
      </c>
    </row>
    <row r="431" spans="1:14" x14ac:dyDescent="0.35">
      <c r="A431" s="19" t="s">
        <v>458</v>
      </c>
      <c r="B431" s="18" t="s">
        <v>130</v>
      </c>
      <c r="C431" s="18" t="s">
        <v>131</v>
      </c>
      <c r="D431" s="7">
        <v>233</v>
      </c>
      <c r="E431" s="18" t="s">
        <v>478</v>
      </c>
      <c r="F431" s="18">
        <v>154</v>
      </c>
      <c r="G431" s="18">
        <v>62114290</v>
      </c>
      <c r="H431" s="18" t="s">
        <v>606</v>
      </c>
      <c r="I431" s="28" t="s">
        <v>2</v>
      </c>
      <c r="J431" s="21">
        <v>18.5</v>
      </c>
      <c r="K431" s="34">
        <v>29.03</v>
      </c>
      <c r="L431" s="31">
        <f t="shared" si="18"/>
        <v>537.05500000000006</v>
      </c>
      <c r="M431" t="str">
        <f t="shared" si="19"/>
        <v>Low Value Product</v>
      </c>
      <c r="N431" t="str">
        <f t="shared" si="20"/>
        <v>Low Revenue Product</v>
      </c>
    </row>
    <row r="432" spans="1:14" x14ac:dyDescent="0.35">
      <c r="A432" s="19" t="s">
        <v>458</v>
      </c>
      <c r="B432" s="18" t="s">
        <v>369</v>
      </c>
      <c r="C432" s="18" t="s">
        <v>3</v>
      </c>
      <c r="D432" s="7">
        <v>528</v>
      </c>
      <c r="E432" s="18" t="s">
        <v>476</v>
      </c>
      <c r="F432" s="18">
        <v>155</v>
      </c>
      <c r="G432" s="18">
        <v>64039920</v>
      </c>
      <c r="H432" s="18" t="s">
        <v>614</v>
      </c>
      <c r="I432" s="27" t="s">
        <v>21</v>
      </c>
      <c r="J432" s="18">
        <v>4.28</v>
      </c>
      <c r="K432" s="33">
        <v>10.23</v>
      </c>
      <c r="L432" s="31">
        <f t="shared" si="18"/>
        <v>43.784400000000005</v>
      </c>
      <c r="M432" t="str">
        <f t="shared" si="19"/>
        <v>Low Value Product</v>
      </c>
      <c r="N432" t="str">
        <f t="shared" si="20"/>
        <v>Low Revenue Product</v>
      </c>
    </row>
    <row r="433" spans="1:14" x14ac:dyDescent="0.35">
      <c r="A433" s="20" t="s">
        <v>458</v>
      </c>
      <c r="B433" s="21" t="s">
        <v>55</v>
      </c>
      <c r="C433" s="21" t="s">
        <v>56</v>
      </c>
      <c r="D433" s="8">
        <v>276</v>
      </c>
      <c r="E433" s="18" t="s">
        <v>476</v>
      </c>
      <c r="F433" s="21">
        <v>155</v>
      </c>
      <c r="G433" s="21">
        <v>32041559</v>
      </c>
      <c r="H433" s="21" t="s">
        <v>347</v>
      </c>
      <c r="I433" s="28" t="s">
        <v>2</v>
      </c>
      <c r="J433" s="21">
        <v>0.9</v>
      </c>
      <c r="K433" s="34">
        <v>30.57</v>
      </c>
      <c r="L433" s="31">
        <f t="shared" si="18"/>
        <v>27.513000000000002</v>
      </c>
      <c r="M433" t="str">
        <f t="shared" si="19"/>
        <v>Low Value Product</v>
      </c>
      <c r="N433" t="str">
        <f t="shared" si="20"/>
        <v>Low Revenue Product</v>
      </c>
    </row>
    <row r="434" spans="1:14" x14ac:dyDescent="0.35">
      <c r="A434" s="15" t="s">
        <v>458</v>
      </c>
      <c r="B434" s="16" t="s">
        <v>130</v>
      </c>
      <c r="C434" s="16" t="s">
        <v>131</v>
      </c>
      <c r="D434" s="17">
        <v>233</v>
      </c>
      <c r="E434" s="18" t="s">
        <v>478</v>
      </c>
      <c r="F434" s="16">
        <v>154</v>
      </c>
      <c r="G434" s="16">
        <v>54023300</v>
      </c>
      <c r="H434" s="16" t="s">
        <v>132</v>
      </c>
      <c r="I434" s="27" t="s">
        <v>88</v>
      </c>
      <c r="J434" s="18">
        <v>22.94</v>
      </c>
      <c r="K434" s="33">
        <v>171.74</v>
      </c>
      <c r="L434" s="31">
        <f t="shared" si="18"/>
        <v>3939.7156000000004</v>
      </c>
      <c r="M434" t="str">
        <f t="shared" si="19"/>
        <v>Low Value Product</v>
      </c>
      <c r="N434" t="str">
        <f t="shared" si="20"/>
        <v>Low Revenue Product</v>
      </c>
    </row>
    <row r="435" spans="1:14" x14ac:dyDescent="0.35">
      <c r="A435" s="19" t="s">
        <v>459</v>
      </c>
      <c r="B435" s="18" t="s">
        <v>40</v>
      </c>
      <c r="C435" s="18" t="s">
        <v>41</v>
      </c>
      <c r="D435" s="7">
        <v>642</v>
      </c>
      <c r="E435" s="18" t="s">
        <v>479</v>
      </c>
      <c r="F435" s="18">
        <v>151</v>
      </c>
      <c r="G435" s="18">
        <v>20089994</v>
      </c>
      <c r="H435" s="18" t="s">
        <v>151</v>
      </c>
      <c r="I435" s="28" t="s">
        <v>2</v>
      </c>
      <c r="J435" s="21">
        <v>12078</v>
      </c>
      <c r="K435" s="34">
        <v>1.31</v>
      </c>
      <c r="L435" s="31">
        <f t="shared" si="18"/>
        <v>15822.18</v>
      </c>
      <c r="M435" t="str">
        <f t="shared" si="19"/>
        <v>Low Value Product</v>
      </c>
      <c r="N435" t="str">
        <f t="shared" si="20"/>
        <v>Low Revenue Product</v>
      </c>
    </row>
    <row r="436" spans="1:14" x14ac:dyDescent="0.35">
      <c r="A436" s="19" t="s">
        <v>459</v>
      </c>
      <c r="B436" s="18" t="s">
        <v>11</v>
      </c>
      <c r="C436" s="18" t="s">
        <v>12</v>
      </c>
      <c r="D436" s="7">
        <v>643</v>
      </c>
      <c r="E436" s="18" t="s">
        <v>479</v>
      </c>
      <c r="F436" s="18">
        <v>151</v>
      </c>
      <c r="G436" s="18">
        <v>42031090</v>
      </c>
      <c r="H436" s="18" t="s">
        <v>94</v>
      </c>
      <c r="I436" s="27" t="s">
        <v>2</v>
      </c>
      <c r="J436" s="18">
        <v>3059</v>
      </c>
      <c r="K436" s="33">
        <v>1.42</v>
      </c>
      <c r="L436" s="31">
        <f t="shared" si="18"/>
        <v>4343.78</v>
      </c>
      <c r="M436" t="str">
        <f t="shared" si="19"/>
        <v>Low Value Product</v>
      </c>
      <c r="N436" t="str">
        <f t="shared" si="20"/>
        <v>Low Revenue Product</v>
      </c>
    </row>
    <row r="437" spans="1:14" x14ac:dyDescent="0.35">
      <c r="A437" s="20" t="s">
        <v>459</v>
      </c>
      <c r="B437" s="21" t="s">
        <v>60</v>
      </c>
      <c r="C437" s="21" t="s">
        <v>61</v>
      </c>
      <c r="D437" s="8">
        <v>724</v>
      </c>
      <c r="E437" s="18" t="s">
        <v>477</v>
      </c>
      <c r="F437" s="21">
        <v>39</v>
      </c>
      <c r="G437" s="21">
        <v>52091900</v>
      </c>
      <c r="H437" s="21" t="s">
        <v>284</v>
      </c>
      <c r="I437" s="28" t="s">
        <v>17</v>
      </c>
      <c r="J437" s="21">
        <v>211</v>
      </c>
      <c r="K437" s="34">
        <v>0</v>
      </c>
      <c r="L437" s="31">
        <f t="shared" si="18"/>
        <v>0</v>
      </c>
      <c r="M437" t="str">
        <f t="shared" si="19"/>
        <v>Low Value Product</v>
      </c>
      <c r="N437" t="str">
        <f t="shared" si="20"/>
        <v>Low Revenue Product</v>
      </c>
    </row>
    <row r="438" spans="1:14" x14ac:dyDescent="0.35">
      <c r="A438" s="15" t="s">
        <v>459</v>
      </c>
      <c r="B438" s="16" t="s">
        <v>370</v>
      </c>
      <c r="C438" s="16" t="s">
        <v>0</v>
      </c>
      <c r="D438" s="17">
        <v>826</v>
      </c>
      <c r="E438" s="18" t="s">
        <v>478</v>
      </c>
      <c r="F438" s="16">
        <v>154</v>
      </c>
      <c r="G438" s="16">
        <v>74153390</v>
      </c>
      <c r="H438" s="16" t="s">
        <v>127</v>
      </c>
      <c r="I438" s="27" t="s">
        <v>2</v>
      </c>
      <c r="J438" s="18">
        <v>2100</v>
      </c>
      <c r="K438" s="33">
        <v>0.01</v>
      </c>
      <c r="L438" s="31">
        <f t="shared" si="18"/>
        <v>21</v>
      </c>
      <c r="M438" t="str">
        <f t="shared" si="19"/>
        <v>Low Value Product</v>
      </c>
      <c r="N438" t="str">
        <f t="shared" si="20"/>
        <v>Low Revenue Product</v>
      </c>
    </row>
    <row r="439" spans="1:14" x14ac:dyDescent="0.35">
      <c r="A439" s="20" t="s">
        <v>460</v>
      </c>
      <c r="B439" s="21" t="s">
        <v>5</v>
      </c>
      <c r="C439" s="21" t="s">
        <v>6</v>
      </c>
      <c r="D439" s="8">
        <v>756</v>
      </c>
      <c r="E439" s="18" t="s">
        <v>476</v>
      </c>
      <c r="F439" s="21">
        <v>155</v>
      </c>
      <c r="G439" s="21">
        <v>62160010</v>
      </c>
      <c r="H439" s="21" t="s">
        <v>208</v>
      </c>
      <c r="I439" s="28" t="s">
        <v>88</v>
      </c>
      <c r="J439" s="21">
        <v>0.63</v>
      </c>
      <c r="K439" s="34">
        <v>0.72</v>
      </c>
      <c r="L439" s="31">
        <f t="shared" si="18"/>
        <v>0.4536</v>
      </c>
      <c r="M439" t="str">
        <f t="shared" si="19"/>
        <v>Low Value Product</v>
      </c>
      <c r="N439" t="str">
        <f t="shared" si="20"/>
        <v>Low Revenue Product</v>
      </c>
    </row>
    <row r="440" spans="1:14" x14ac:dyDescent="0.35">
      <c r="A440" s="19" t="s">
        <v>460</v>
      </c>
      <c r="B440" s="18" t="s">
        <v>51</v>
      </c>
      <c r="C440" s="18" t="s">
        <v>52</v>
      </c>
      <c r="D440" s="7">
        <v>616</v>
      </c>
      <c r="E440" s="18" t="s">
        <v>479</v>
      </c>
      <c r="F440" s="18">
        <v>151</v>
      </c>
      <c r="G440" s="18">
        <v>85115000</v>
      </c>
      <c r="H440" s="18" t="s">
        <v>305</v>
      </c>
      <c r="I440" s="27" t="s">
        <v>21</v>
      </c>
      <c r="J440" s="18">
        <v>0.18</v>
      </c>
      <c r="K440" s="33">
        <v>3.95</v>
      </c>
      <c r="L440" s="31">
        <f t="shared" si="18"/>
        <v>0.71099999999999997</v>
      </c>
      <c r="M440" t="str">
        <f t="shared" si="19"/>
        <v>Low Value Product</v>
      </c>
      <c r="N440" t="str">
        <f t="shared" si="20"/>
        <v>Low Revenue Product</v>
      </c>
    </row>
    <row r="441" spans="1:14" x14ac:dyDescent="0.35">
      <c r="A441" s="20" t="s">
        <v>460</v>
      </c>
      <c r="B441" s="21" t="s">
        <v>55</v>
      </c>
      <c r="C441" s="21" t="s">
        <v>56</v>
      </c>
      <c r="D441" s="8">
        <v>276</v>
      </c>
      <c r="E441" s="18" t="s">
        <v>476</v>
      </c>
      <c r="F441" s="21">
        <v>155</v>
      </c>
      <c r="G441" s="21">
        <v>25010020</v>
      </c>
      <c r="H441" s="21" t="s">
        <v>290</v>
      </c>
      <c r="I441" s="28" t="s">
        <v>2</v>
      </c>
      <c r="J441" s="21">
        <v>2</v>
      </c>
      <c r="K441" s="34">
        <v>2.38</v>
      </c>
      <c r="L441" s="31">
        <f t="shared" si="18"/>
        <v>4.76</v>
      </c>
      <c r="M441" t="str">
        <f t="shared" si="19"/>
        <v>Low Value Product</v>
      </c>
      <c r="N441" t="str">
        <f t="shared" si="20"/>
        <v>Low Revenue Product</v>
      </c>
    </row>
    <row r="442" spans="1:14" x14ac:dyDescent="0.35">
      <c r="A442" s="19" t="s">
        <v>461</v>
      </c>
      <c r="B442" s="18" t="s">
        <v>60</v>
      </c>
      <c r="C442" s="18" t="s">
        <v>61</v>
      </c>
      <c r="D442" s="7">
        <v>724</v>
      </c>
      <c r="E442" s="18" t="s">
        <v>477</v>
      </c>
      <c r="F442" s="18">
        <v>39</v>
      </c>
      <c r="G442" s="18">
        <v>72091520</v>
      </c>
      <c r="H442" s="18" t="s">
        <v>613</v>
      </c>
      <c r="I442" s="27" t="s">
        <v>21</v>
      </c>
      <c r="J442" s="18">
        <v>95.34</v>
      </c>
      <c r="K442" s="33">
        <v>214.33</v>
      </c>
      <c r="L442" s="31">
        <f t="shared" si="18"/>
        <v>20434.2222</v>
      </c>
      <c r="M442" t="str">
        <f t="shared" si="19"/>
        <v>Low Value Product</v>
      </c>
      <c r="N442" t="str">
        <f t="shared" si="20"/>
        <v>Low Revenue Product</v>
      </c>
    </row>
    <row r="443" spans="1:14" x14ac:dyDescent="0.35">
      <c r="A443" s="20" t="s">
        <v>461</v>
      </c>
      <c r="B443" s="21" t="s">
        <v>370</v>
      </c>
      <c r="C443" s="21" t="s">
        <v>0</v>
      </c>
      <c r="D443" s="8">
        <v>826</v>
      </c>
      <c r="E443" s="18" t="s">
        <v>478</v>
      </c>
      <c r="F443" s="21">
        <v>154</v>
      </c>
      <c r="G443" s="21">
        <v>63024030</v>
      </c>
      <c r="H443" s="21" t="s">
        <v>511</v>
      </c>
      <c r="I443" s="28" t="s">
        <v>2</v>
      </c>
      <c r="J443" s="21">
        <v>25.58</v>
      </c>
      <c r="K443" s="34">
        <v>125.39</v>
      </c>
      <c r="L443" s="31">
        <f t="shared" si="18"/>
        <v>3207.4761999999996</v>
      </c>
      <c r="M443" t="str">
        <f t="shared" si="19"/>
        <v>Low Value Product</v>
      </c>
      <c r="N443" t="str">
        <f t="shared" si="20"/>
        <v>Low Revenue Product</v>
      </c>
    </row>
    <row r="444" spans="1:14" x14ac:dyDescent="0.35">
      <c r="A444" s="19" t="s">
        <v>461</v>
      </c>
      <c r="B444" s="18" t="s">
        <v>369</v>
      </c>
      <c r="C444" s="18" t="s">
        <v>3</v>
      </c>
      <c r="D444" s="7">
        <v>528</v>
      </c>
      <c r="E444" s="18" t="s">
        <v>476</v>
      </c>
      <c r="F444" s="18">
        <v>155</v>
      </c>
      <c r="G444" s="18">
        <v>61046300</v>
      </c>
      <c r="H444" s="18" t="s">
        <v>73</v>
      </c>
      <c r="I444" s="27" t="s">
        <v>2</v>
      </c>
      <c r="J444" s="18">
        <v>0</v>
      </c>
      <c r="K444" s="33">
        <v>0.04</v>
      </c>
      <c r="L444" s="31">
        <f t="shared" si="18"/>
        <v>0</v>
      </c>
      <c r="M444" t="str">
        <f t="shared" si="19"/>
        <v>Low Value Product</v>
      </c>
      <c r="N444" t="str">
        <f t="shared" si="20"/>
        <v>Low Revenue Product</v>
      </c>
    </row>
    <row r="445" spans="1:14" x14ac:dyDescent="0.35">
      <c r="A445" s="19" t="s">
        <v>462</v>
      </c>
      <c r="B445" s="18" t="s">
        <v>86</v>
      </c>
      <c r="C445" s="18" t="s">
        <v>87</v>
      </c>
      <c r="D445" s="7">
        <v>40</v>
      </c>
      <c r="E445" s="18" t="s">
        <v>476</v>
      </c>
      <c r="F445" s="18">
        <v>155</v>
      </c>
      <c r="G445" s="18">
        <v>64035111</v>
      </c>
      <c r="H445" s="18" t="s">
        <v>625</v>
      </c>
      <c r="I445" s="28" t="s">
        <v>21</v>
      </c>
      <c r="J445" s="21">
        <v>1.63</v>
      </c>
      <c r="K445" s="34">
        <v>3.94</v>
      </c>
      <c r="L445" s="31">
        <f t="shared" si="18"/>
        <v>6.4221999999999992</v>
      </c>
      <c r="M445" t="str">
        <f t="shared" si="19"/>
        <v>Low Value Product</v>
      </c>
      <c r="N445" t="str">
        <f t="shared" si="20"/>
        <v>Low Revenue Product</v>
      </c>
    </row>
    <row r="446" spans="1:14" x14ac:dyDescent="0.35">
      <c r="A446" s="19" t="s">
        <v>462</v>
      </c>
      <c r="B446" s="18" t="s">
        <v>55</v>
      </c>
      <c r="C446" s="18" t="s">
        <v>56</v>
      </c>
      <c r="D446" s="7">
        <v>276</v>
      </c>
      <c r="E446" s="18" t="s">
        <v>476</v>
      </c>
      <c r="F446" s="18">
        <v>155</v>
      </c>
      <c r="G446" s="18">
        <v>39199020</v>
      </c>
      <c r="H446" s="18" t="s">
        <v>362</v>
      </c>
      <c r="I446" s="27" t="s">
        <v>2</v>
      </c>
      <c r="J446" s="18">
        <v>0.89</v>
      </c>
      <c r="K446" s="33">
        <v>22.1</v>
      </c>
      <c r="L446" s="31">
        <f t="shared" si="18"/>
        <v>19.669</v>
      </c>
      <c r="M446" t="str">
        <f t="shared" si="19"/>
        <v>Low Value Product</v>
      </c>
      <c r="N446" t="str">
        <f t="shared" si="20"/>
        <v>Low Revenue Product</v>
      </c>
    </row>
    <row r="447" spans="1:14" x14ac:dyDescent="0.35">
      <c r="A447" s="20" t="s">
        <v>462</v>
      </c>
      <c r="B447" s="21" t="s">
        <v>55</v>
      </c>
      <c r="C447" s="21" t="s">
        <v>56</v>
      </c>
      <c r="D447" s="8">
        <v>276</v>
      </c>
      <c r="E447" s="18" t="s">
        <v>476</v>
      </c>
      <c r="F447" s="21">
        <v>155</v>
      </c>
      <c r="G447" s="21">
        <v>63053200</v>
      </c>
      <c r="H447" s="21" t="s">
        <v>107</v>
      </c>
      <c r="I447" s="28" t="s">
        <v>2</v>
      </c>
      <c r="J447" s="21">
        <v>12.53</v>
      </c>
      <c r="K447" s="34">
        <v>99.53</v>
      </c>
      <c r="L447" s="31">
        <f t="shared" si="18"/>
        <v>1247.1108999999999</v>
      </c>
      <c r="M447" t="str">
        <f t="shared" si="19"/>
        <v>Low Value Product</v>
      </c>
      <c r="N447" t="str">
        <f t="shared" si="20"/>
        <v>Low Revenue Product</v>
      </c>
    </row>
    <row r="448" spans="1:14" x14ac:dyDescent="0.35">
      <c r="A448" s="19" t="s">
        <v>462</v>
      </c>
      <c r="B448" s="18" t="s">
        <v>60</v>
      </c>
      <c r="C448" s="18" t="s">
        <v>61</v>
      </c>
      <c r="D448" s="7">
        <v>724</v>
      </c>
      <c r="E448" s="18" t="s">
        <v>477</v>
      </c>
      <c r="F448" s="18">
        <v>39</v>
      </c>
      <c r="G448" s="18">
        <v>48192090</v>
      </c>
      <c r="H448" s="18" t="s">
        <v>191</v>
      </c>
      <c r="I448" s="27" t="s">
        <v>88</v>
      </c>
      <c r="J448" s="18">
        <v>0</v>
      </c>
      <c r="K448" s="33">
        <v>0.09</v>
      </c>
      <c r="L448" s="31">
        <f t="shared" si="18"/>
        <v>0</v>
      </c>
      <c r="M448" t="str">
        <f t="shared" si="19"/>
        <v>Low Value Product</v>
      </c>
      <c r="N448" t="str">
        <f t="shared" si="20"/>
        <v>Low Revenue Product</v>
      </c>
    </row>
    <row r="449" spans="1:14" x14ac:dyDescent="0.35">
      <c r="A449" s="20" t="s">
        <v>462</v>
      </c>
      <c r="B449" s="21" t="s">
        <v>25</v>
      </c>
      <c r="C449" s="21" t="s">
        <v>26</v>
      </c>
      <c r="D449" s="8">
        <v>688</v>
      </c>
      <c r="E449" s="18" t="s">
        <v>477</v>
      </c>
      <c r="F449" s="21">
        <v>39</v>
      </c>
      <c r="G449" s="21">
        <v>61051020</v>
      </c>
      <c r="H449" s="21" t="s">
        <v>612</v>
      </c>
      <c r="I449" s="28" t="s">
        <v>2</v>
      </c>
      <c r="J449" s="21">
        <v>1994.02</v>
      </c>
      <c r="K449" s="34">
        <v>3405.41</v>
      </c>
      <c r="L449" s="31">
        <f t="shared" si="18"/>
        <v>6790455.6481999997</v>
      </c>
      <c r="M449" t="str">
        <f t="shared" si="19"/>
        <v>High Value Product</v>
      </c>
      <c r="N449" t="str">
        <f t="shared" si="20"/>
        <v>High Revenue Product</v>
      </c>
    </row>
    <row r="450" spans="1:14" x14ac:dyDescent="0.35">
      <c r="A450" s="15" t="s">
        <v>462</v>
      </c>
      <c r="B450" s="16" t="s">
        <v>14</v>
      </c>
      <c r="C450" s="16" t="s">
        <v>15</v>
      </c>
      <c r="D450" s="17">
        <v>250</v>
      </c>
      <c r="E450" s="18" t="s">
        <v>476</v>
      </c>
      <c r="F450" s="16">
        <v>155</v>
      </c>
      <c r="G450" s="16">
        <v>44219960</v>
      </c>
      <c r="H450" s="16" t="s">
        <v>160</v>
      </c>
      <c r="I450" s="27" t="s">
        <v>2</v>
      </c>
      <c r="J450" s="18">
        <v>12.31</v>
      </c>
      <c r="K450" s="33">
        <v>105.88</v>
      </c>
      <c r="L450" s="31">
        <f t="shared" si="18"/>
        <v>1303.3828000000001</v>
      </c>
      <c r="M450" t="str">
        <f t="shared" si="19"/>
        <v>Low Value Product</v>
      </c>
      <c r="N450" t="str">
        <f t="shared" si="20"/>
        <v>Low Revenue Product</v>
      </c>
    </row>
    <row r="451" spans="1:14" x14ac:dyDescent="0.35">
      <c r="A451" s="20" t="s">
        <v>462</v>
      </c>
      <c r="B451" s="21" t="s">
        <v>78</v>
      </c>
      <c r="C451" s="21" t="s">
        <v>79</v>
      </c>
      <c r="D451" s="8">
        <v>208</v>
      </c>
      <c r="E451" s="18" t="s">
        <v>478</v>
      </c>
      <c r="F451" s="21">
        <v>154</v>
      </c>
      <c r="G451" s="21">
        <v>63052000</v>
      </c>
      <c r="H451" s="21" t="s">
        <v>326</v>
      </c>
      <c r="I451" s="28" t="s">
        <v>2</v>
      </c>
      <c r="J451" s="21">
        <v>0.01</v>
      </c>
      <c r="K451" s="34">
        <v>0.04</v>
      </c>
      <c r="L451" s="31">
        <f t="shared" ref="L451:L501" si="21">J451*K451</f>
        <v>4.0000000000000002E-4</v>
      </c>
      <c r="M451" t="str">
        <f t="shared" ref="M451:M501" si="22">IF(K451&lt;=1000,"Low Value Product",IF(K451&lt;=2000,"Moderate Value Product","High Value Product"))</f>
        <v>Low Value Product</v>
      </c>
      <c r="N451" t="str">
        <f t="shared" ref="N451:N501" si="23">IF(L451&lt;50000,"Low Revenue Product",IF(L451&lt;100000,"Medium Revenue Product","High Revenue Product"))</f>
        <v>Low Revenue Product</v>
      </c>
    </row>
    <row r="452" spans="1:14" x14ac:dyDescent="0.35">
      <c r="A452" s="19" t="s">
        <v>463</v>
      </c>
      <c r="B452" s="18" t="s">
        <v>18</v>
      </c>
      <c r="C452" s="18" t="s">
        <v>19</v>
      </c>
      <c r="D452" s="7">
        <v>620</v>
      </c>
      <c r="E452" s="18" t="s">
        <v>477</v>
      </c>
      <c r="F452" s="18">
        <v>39</v>
      </c>
      <c r="G452" s="18">
        <v>73269099</v>
      </c>
      <c r="H452" s="18" t="s">
        <v>105</v>
      </c>
      <c r="I452" s="27" t="s">
        <v>2</v>
      </c>
      <c r="J452" s="18">
        <v>138.19999999999999</v>
      </c>
      <c r="K452" s="33">
        <v>101.57</v>
      </c>
      <c r="L452" s="31">
        <f t="shared" si="21"/>
        <v>14036.973999999998</v>
      </c>
      <c r="M452" t="str">
        <f t="shared" si="22"/>
        <v>Low Value Product</v>
      </c>
      <c r="N452" t="str">
        <f t="shared" si="23"/>
        <v>Low Revenue Product</v>
      </c>
    </row>
    <row r="453" spans="1:14" x14ac:dyDescent="0.35">
      <c r="A453" s="20" t="s">
        <v>463</v>
      </c>
      <c r="B453" s="21" t="s">
        <v>5</v>
      </c>
      <c r="C453" s="21" t="s">
        <v>6</v>
      </c>
      <c r="D453" s="8">
        <v>756</v>
      </c>
      <c r="E453" s="18" t="s">
        <v>476</v>
      </c>
      <c r="F453" s="21">
        <v>155</v>
      </c>
      <c r="G453" s="21">
        <v>40139030</v>
      </c>
      <c r="H453" s="21" t="s">
        <v>236</v>
      </c>
      <c r="I453" s="28" t="s">
        <v>21</v>
      </c>
      <c r="J453" s="21">
        <v>0.08</v>
      </c>
      <c r="K453" s="34">
        <v>0.14000000000000001</v>
      </c>
      <c r="L453" s="31">
        <f t="shared" si="21"/>
        <v>1.1200000000000002E-2</v>
      </c>
      <c r="M453" t="str">
        <f t="shared" si="22"/>
        <v>Low Value Product</v>
      </c>
      <c r="N453" t="str">
        <f t="shared" si="23"/>
        <v>Low Revenue Product</v>
      </c>
    </row>
    <row r="454" spans="1:14" x14ac:dyDescent="0.35">
      <c r="A454" s="19" t="s">
        <v>463</v>
      </c>
      <c r="B454" s="18" t="s">
        <v>14</v>
      </c>
      <c r="C454" s="18" t="s">
        <v>15</v>
      </c>
      <c r="D454" s="7">
        <v>250</v>
      </c>
      <c r="E454" s="18" t="s">
        <v>476</v>
      </c>
      <c r="F454" s="18">
        <v>155</v>
      </c>
      <c r="G454" s="18">
        <v>20079910</v>
      </c>
      <c r="H454" s="18" t="s">
        <v>626</v>
      </c>
      <c r="I454" s="27" t="s">
        <v>2</v>
      </c>
      <c r="J454" s="18">
        <v>5.08</v>
      </c>
      <c r="K454" s="33">
        <v>8.42</v>
      </c>
      <c r="L454" s="31">
        <f t="shared" si="21"/>
        <v>42.773600000000002</v>
      </c>
      <c r="M454" t="str">
        <f t="shared" si="22"/>
        <v>Low Value Product</v>
      </c>
      <c r="N454" t="str">
        <f t="shared" si="23"/>
        <v>Low Revenue Product</v>
      </c>
    </row>
    <row r="455" spans="1:14" x14ac:dyDescent="0.35">
      <c r="A455" s="20" t="s">
        <v>463</v>
      </c>
      <c r="B455" s="21" t="s">
        <v>18</v>
      </c>
      <c r="C455" s="21" t="s">
        <v>19</v>
      </c>
      <c r="D455" s="8">
        <v>620</v>
      </c>
      <c r="E455" s="18" t="s">
        <v>477</v>
      </c>
      <c r="F455" s="21">
        <v>39</v>
      </c>
      <c r="G455" s="21">
        <v>74181021</v>
      </c>
      <c r="H455" s="21" t="s">
        <v>177</v>
      </c>
      <c r="I455" s="28" t="s">
        <v>2</v>
      </c>
      <c r="J455" s="21">
        <v>0.02</v>
      </c>
      <c r="K455" s="34">
        <v>0.08</v>
      </c>
      <c r="L455" s="31">
        <f t="shared" si="21"/>
        <v>1.6000000000000001E-3</v>
      </c>
      <c r="M455" t="str">
        <f t="shared" si="22"/>
        <v>Low Value Product</v>
      </c>
      <c r="N455" t="str">
        <f t="shared" si="23"/>
        <v>Low Revenue Product</v>
      </c>
    </row>
    <row r="456" spans="1:14" x14ac:dyDescent="0.35">
      <c r="A456" s="15" t="s">
        <v>463</v>
      </c>
      <c r="B456" s="16" t="s">
        <v>44</v>
      </c>
      <c r="C456" s="16" t="s">
        <v>45</v>
      </c>
      <c r="D456" s="17">
        <v>56</v>
      </c>
      <c r="E456" s="18" t="s">
        <v>476</v>
      </c>
      <c r="F456" s="16">
        <v>155</v>
      </c>
      <c r="G456" s="16">
        <v>33030090</v>
      </c>
      <c r="H456" s="16" t="s">
        <v>275</v>
      </c>
      <c r="I456" s="27" t="s">
        <v>2</v>
      </c>
      <c r="J456" s="18">
        <v>5.66</v>
      </c>
      <c r="K456" s="33">
        <v>42.86</v>
      </c>
      <c r="L456" s="31">
        <f t="shared" si="21"/>
        <v>242.58760000000001</v>
      </c>
      <c r="M456" t="str">
        <f t="shared" si="22"/>
        <v>Low Value Product</v>
      </c>
      <c r="N456" t="str">
        <f t="shared" si="23"/>
        <v>Low Revenue Product</v>
      </c>
    </row>
    <row r="457" spans="1:14" x14ac:dyDescent="0.35">
      <c r="A457" s="19" t="s">
        <v>463</v>
      </c>
      <c r="B457" s="18" t="s">
        <v>55</v>
      </c>
      <c r="C457" s="18" t="s">
        <v>56</v>
      </c>
      <c r="D457" s="7">
        <v>276</v>
      </c>
      <c r="E457" s="18" t="s">
        <v>476</v>
      </c>
      <c r="F457" s="18">
        <v>155</v>
      </c>
      <c r="G457" s="18">
        <v>56079090</v>
      </c>
      <c r="H457" s="18" t="s">
        <v>287</v>
      </c>
      <c r="I457" s="28" t="s">
        <v>2</v>
      </c>
      <c r="J457" s="21">
        <v>31.24</v>
      </c>
      <c r="K457" s="34">
        <v>92.52</v>
      </c>
      <c r="L457" s="31">
        <f t="shared" si="21"/>
        <v>2890.3247999999999</v>
      </c>
      <c r="M457" t="str">
        <f t="shared" si="22"/>
        <v>Low Value Product</v>
      </c>
      <c r="N457" t="str">
        <f t="shared" si="23"/>
        <v>Low Revenue Product</v>
      </c>
    </row>
    <row r="458" spans="1:14" x14ac:dyDescent="0.35">
      <c r="A458" s="15" t="s">
        <v>464</v>
      </c>
      <c r="B458" s="16" t="s">
        <v>38</v>
      </c>
      <c r="C458" s="16" t="s">
        <v>39</v>
      </c>
      <c r="D458" s="17">
        <v>703</v>
      </c>
      <c r="E458" s="18" t="s">
        <v>479</v>
      </c>
      <c r="F458" s="16">
        <v>151</v>
      </c>
      <c r="G458" s="16">
        <v>57033020</v>
      </c>
      <c r="H458" s="16" t="s">
        <v>524</v>
      </c>
      <c r="I458" s="27" t="s">
        <v>2</v>
      </c>
      <c r="J458" s="18">
        <v>277</v>
      </c>
      <c r="K458" s="33">
        <v>154.46</v>
      </c>
      <c r="L458" s="31">
        <f t="shared" si="21"/>
        <v>42785.420000000006</v>
      </c>
      <c r="M458" t="str">
        <f t="shared" si="22"/>
        <v>Low Value Product</v>
      </c>
      <c r="N458" t="str">
        <f t="shared" si="23"/>
        <v>Low Revenue Product</v>
      </c>
    </row>
    <row r="459" spans="1:14" x14ac:dyDescent="0.35">
      <c r="A459" s="19" t="s">
        <v>464</v>
      </c>
      <c r="B459" s="18" t="s">
        <v>83</v>
      </c>
      <c r="C459" s="18" t="s">
        <v>84</v>
      </c>
      <c r="D459" s="7">
        <v>804</v>
      </c>
      <c r="E459" s="18" t="s">
        <v>479</v>
      </c>
      <c r="F459" s="18">
        <v>151</v>
      </c>
      <c r="G459" s="18">
        <v>95072000</v>
      </c>
      <c r="H459" s="18" t="s">
        <v>85</v>
      </c>
      <c r="I459" s="28" t="s">
        <v>17</v>
      </c>
      <c r="J459" s="21">
        <v>0.45</v>
      </c>
      <c r="K459" s="34">
        <v>2.34</v>
      </c>
      <c r="L459" s="31">
        <f t="shared" si="21"/>
        <v>1.0529999999999999</v>
      </c>
      <c r="M459" t="str">
        <f t="shared" si="22"/>
        <v>Low Value Product</v>
      </c>
      <c r="N459" t="str">
        <f t="shared" si="23"/>
        <v>Low Revenue Product</v>
      </c>
    </row>
    <row r="460" spans="1:14" x14ac:dyDescent="0.35">
      <c r="A460" s="15" t="s">
        <v>464</v>
      </c>
      <c r="B460" s="16" t="s">
        <v>5</v>
      </c>
      <c r="C460" s="16" t="s">
        <v>6</v>
      </c>
      <c r="D460" s="17">
        <v>756</v>
      </c>
      <c r="E460" s="18" t="s">
        <v>476</v>
      </c>
      <c r="F460" s="16">
        <v>155</v>
      </c>
      <c r="G460" s="16">
        <v>42029100</v>
      </c>
      <c r="H460" s="16" t="s">
        <v>498</v>
      </c>
      <c r="I460" s="27" t="s">
        <v>2</v>
      </c>
      <c r="J460" s="18">
        <v>0.01</v>
      </c>
      <c r="K460" s="33">
        <v>0.01</v>
      </c>
      <c r="L460" s="31">
        <f t="shared" si="21"/>
        <v>1E-4</v>
      </c>
      <c r="M460" t="str">
        <f t="shared" si="22"/>
        <v>Low Value Product</v>
      </c>
      <c r="N460" t="str">
        <f t="shared" si="23"/>
        <v>Low Revenue Product</v>
      </c>
    </row>
    <row r="461" spans="1:14" x14ac:dyDescent="0.35">
      <c r="A461" s="19" t="s">
        <v>464</v>
      </c>
      <c r="B461" s="18" t="s">
        <v>40</v>
      </c>
      <c r="C461" s="18" t="s">
        <v>41</v>
      </c>
      <c r="D461" s="7">
        <v>642</v>
      </c>
      <c r="E461" s="18" t="s">
        <v>479</v>
      </c>
      <c r="F461" s="18">
        <v>151</v>
      </c>
      <c r="G461" s="18">
        <v>72104900</v>
      </c>
      <c r="H461" s="18" t="s">
        <v>497</v>
      </c>
      <c r="I461" s="28" t="s">
        <v>21</v>
      </c>
      <c r="J461" s="21">
        <v>1.55</v>
      </c>
      <c r="K461" s="34">
        <v>8.44</v>
      </c>
      <c r="L461" s="31">
        <f t="shared" si="21"/>
        <v>13.081999999999999</v>
      </c>
      <c r="M461" t="str">
        <f t="shared" si="22"/>
        <v>Low Value Product</v>
      </c>
      <c r="N461" t="str">
        <f t="shared" si="23"/>
        <v>Low Revenue Product</v>
      </c>
    </row>
    <row r="462" spans="1:14" x14ac:dyDescent="0.35">
      <c r="A462" s="19" t="s">
        <v>464</v>
      </c>
      <c r="B462" s="18" t="s">
        <v>370</v>
      </c>
      <c r="C462" s="18" t="s">
        <v>0</v>
      </c>
      <c r="D462" s="7">
        <v>826</v>
      </c>
      <c r="E462" s="18" t="s">
        <v>478</v>
      </c>
      <c r="F462" s="18">
        <v>154</v>
      </c>
      <c r="G462" s="18">
        <v>39073090</v>
      </c>
      <c r="H462" s="18" t="s">
        <v>10</v>
      </c>
      <c r="I462" s="27" t="s">
        <v>2</v>
      </c>
      <c r="J462" s="18">
        <v>0</v>
      </c>
      <c r="K462" s="33">
        <v>0.87</v>
      </c>
      <c r="L462" s="31">
        <f t="shared" si="21"/>
        <v>0</v>
      </c>
      <c r="M462" t="str">
        <f t="shared" si="22"/>
        <v>Low Value Product</v>
      </c>
      <c r="N462" t="str">
        <f t="shared" si="23"/>
        <v>Low Revenue Product</v>
      </c>
    </row>
    <row r="463" spans="1:14" x14ac:dyDescent="0.35">
      <c r="A463" s="20" t="s">
        <v>465</v>
      </c>
      <c r="B463" s="21" t="s">
        <v>51</v>
      </c>
      <c r="C463" s="21" t="s">
        <v>52</v>
      </c>
      <c r="D463" s="8">
        <v>616</v>
      </c>
      <c r="E463" s="18" t="s">
        <v>479</v>
      </c>
      <c r="F463" s="21">
        <v>151</v>
      </c>
      <c r="G463" s="21">
        <v>32041216</v>
      </c>
      <c r="H463" s="21" t="s">
        <v>222</v>
      </c>
      <c r="I463" s="28" t="s">
        <v>21</v>
      </c>
      <c r="J463" s="21">
        <v>4.71</v>
      </c>
      <c r="K463" s="34">
        <v>28.44</v>
      </c>
      <c r="L463" s="31">
        <f t="shared" si="21"/>
        <v>133.95240000000001</v>
      </c>
      <c r="M463" t="str">
        <f t="shared" si="22"/>
        <v>Low Value Product</v>
      </c>
      <c r="N463" t="str">
        <f t="shared" si="23"/>
        <v>Low Revenue Product</v>
      </c>
    </row>
    <row r="464" spans="1:14" x14ac:dyDescent="0.35">
      <c r="A464" s="15" t="s">
        <v>465</v>
      </c>
      <c r="B464" s="16" t="s">
        <v>22</v>
      </c>
      <c r="C464" s="16" t="s">
        <v>23</v>
      </c>
      <c r="D464" s="17">
        <v>380</v>
      </c>
      <c r="E464" s="18" t="s">
        <v>477</v>
      </c>
      <c r="F464" s="16">
        <v>39</v>
      </c>
      <c r="G464" s="16">
        <v>84821030</v>
      </c>
      <c r="H464" s="16" t="s">
        <v>153</v>
      </c>
      <c r="I464" s="27" t="s">
        <v>2</v>
      </c>
      <c r="J464" s="18">
        <v>0.78</v>
      </c>
      <c r="K464" s="33">
        <v>8.68</v>
      </c>
      <c r="L464" s="31">
        <f t="shared" si="21"/>
        <v>6.7704000000000004</v>
      </c>
      <c r="M464" t="str">
        <f t="shared" si="22"/>
        <v>Low Value Product</v>
      </c>
      <c r="N464" t="str">
        <f t="shared" si="23"/>
        <v>Low Revenue Product</v>
      </c>
    </row>
    <row r="465" spans="1:14" x14ac:dyDescent="0.35">
      <c r="A465" s="19" t="s">
        <v>465</v>
      </c>
      <c r="B465" s="18" t="s">
        <v>11</v>
      </c>
      <c r="C465" s="18" t="s">
        <v>12</v>
      </c>
      <c r="D465" s="7">
        <v>643</v>
      </c>
      <c r="E465" s="18" t="s">
        <v>479</v>
      </c>
      <c r="F465" s="18">
        <v>151</v>
      </c>
      <c r="G465" s="18">
        <v>34060010</v>
      </c>
      <c r="H465" s="18" t="s">
        <v>89</v>
      </c>
      <c r="I465" s="28" t="s">
        <v>2</v>
      </c>
      <c r="J465" s="21">
        <v>0.23</v>
      </c>
      <c r="K465" s="34">
        <v>3.36</v>
      </c>
      <c r="L465" s="31">
        <f t="shared" si="21"/>
        <v>0.77280000000000004</v>
      </c>
      <c r="M465" t="str">
        <f t="shared" si="22"/>
        <v>Low Value Product</v>
      </c>
      <c r="N465" t="str">
        <f t="shared" si="23"/>
        <v>Low Revenue Product</v>
      </c>
    </row>
    <row r="466" spans="1:14" x14ac:dyDescent="0.35">
      <c r="A466" s="19" t="s">
        <v>465</v>
      </c>
      <c r="B466" s="18" t="s">
        <v>5</v>
      </c>
      <c r="C466" s="18" t="s">
        <v>6</v>
      </c>
      <c r="D466" s="7">
        <v>756</v>
      </c>
      <c r="E466" s="18" t="s">
        <v>476</v>
      </c>
      <c r="F466" s="18">
        <v>155</v>
      </c>
      <c r="G466" s="18">
        <v>87089300</v>
      </c>
      <c r="H466" s="18" t="s">
        <v>510</v>
      </c>
      <c r="I466" s="27" t="s">
        <v>2</v>
      </c>
      <c r="J466" s="18">
        <v>0.08</v>
      </c>
      <c r="K466" s="33">
        <v>0.31</v>
      </c>
      <c r="L466" s="31">
        <f t="shared" si="21"/>
        <v>2.4799999999999999E-2</v>
      </c>
      <c r="M466" t="str">
        <f t="shared" si="22"/>
        <v>Low Value Product</v>
      </c>
      <c r="N466" t="str">
        <f t="shared" si="23"/>
        <v>Low Revenue Product</v>
      </c>
    </row>
    <row r="467" spans="1:14" x14ac:dyDescent="0.35">
      <c r="A467" s="20" t="s">
        <v>465</v>
      </c>
      <c r="B467" s="21" t="s">
        <v>44</v>
      </c>
      <c r="C467" s="21" t="s">
        <v>45</v>
      </c>
      <c r="D467" s="8">
        <v>56</v>
      </c>
      <c r="E467" s="18" t="s">
        <v>476</v>
      </c>
      <c r="F467" s="21">
        <v>155</v>
      </c>
      <c r="G467" s="21">
        <v>28259090</v>
      </c>
      <c r="H467" s="21" t="s">
        <v>289</v>
      </c>
      <c r="I467" s="28" t="s">
        <v>2</v>
      </c>
      <c r="J467" s="21">
        <v>10</v>
      </c>
      <c r="K467" s="34">
        <v>193.93</v>
      </c>
      <c r="L467" s="31">
        <f t="shared" si="21"/>
        <v>1939.3000000000002</v>
      </c>
      <c r="M467" t="str">
        <f t="shared" si="22"/>
        <v>Low Value Product</v>
      </c>
      <c r="N467" t="str">
        <f t="shared" si="23"/>
        <v>Low Revenue Product</v>
      </c>
    </row>
    <row r="468" spans="1:14" x14ac:dyDescent="0.35">
      <c r="A468" s="19" t="s">
        <v>466</v>
      </c>
      <c r="B468" s="18" t="s">
        <v>35</v>
      </c>
      <c r="C468" s="18" t="s">
        <v>36</v>
      </c>
      <c r="D468" s="7">
        <v>440</v>
      </c>
      <c r="E468" s="18" t="s">
        <v>478</v>
      </c>
      <c r="F468" s="18">
        <v>154</v>
      </c>
      <c r="G468" s="18">
        <v>34011190</v>
      </c>
      <c r="H468" s="18" t="s">
        <v>499</v>
      </c>
      <c r="I468" s="27" t="s">
        <v>2</v>
      </c>
      <c r="J468" s="18">
        <v>12</v>
      </c>
      <c r="K468" s="33">
        <v>27.16</v>
      </c>
      <c r="L468" s="31">
        <f t="shared" si="21"/>
        <v>325.92</v>
      </c>
      <c r="M468" t="str">
        <f t="shared" si="22"/>
        <v>Low Value Product</v>
      </c>
      <c r="N468" t="str">
        <f t="shared" si="23"/>
        <v>Low Revenue Product</v>
      </c>
    </row>
    <row r="469" spans="1:14" x14ac:dyDescent="0.35">
      <c r="A469" s="20" t="s">
        <v>466</v>
      </c>
      <c r="B469" s="21" t="s">
        <v>22</v>
      </c>
      <c r="C469" s="21" t="s">
        <v>23</v>
      </c>
      <c r="D469" s="8">
        <v>380</v>
      </c>
      <c r="E469" s="18" t="s">
        <v>477</v>
      </c>
      <c r="F469" s="21">
        <v>39</v>
      </c>
      <c r="G469" s="21">
        <v>52092990</v>
      </c>
      <c r="H469" s="21" t="s">
        <v>10</v>
      </c>
      <c r="I469" s="28" t="s">
        <v>17</v>
      </c>
      <c r="J469" s="21">
        <v>17.899999999999999</v>
      </c>
      <c r="K469" s="34">
        <v>33.53</v>
      </c>
      <c r="L469" s="31">
        <f t="shared" si="21"/>
        <v>600.18700000000001</v>
      </c>
      <c r="M469" t="str">
        <f t="shared" si="22"/>
        <v>Low Value Product</v>
      </c>
      <c r="N469" t="str">
        <f t="shared" si="23"/>
        <v>Low Revenue Product</v>
      </c>
    </row>
    <row r="470" spans="1:14" x14ac:dyDescent="0.35">
      <c r="A470" s="19" t="s">
        <v>466</v>
      </c>
      <c r="B470" s="18" t="s">
        <v>55</v>
      </c>
      <c r="C470" s="18" t="s">
        <v>56</v>
      </c>
      <c r="D470" s="7">
        <v>276</v>
      </c>
      <c r="E470" s="18" t="s">
        <v>476</v>
      </c>
      <c r="F470" s="18">
        <v>155</v>
      </c>
      <c r="G470" s="18">
        <v>8140000</v>
      </c>
      <c r="H470" s="18" t="s">
        <v>500</v>
      </c>
      <c r="I470" s="27" t="s">
        <v>2</v>
      </c>
      <c r="J470" s="18">
        <v>9.6</v>
      </c>
      <c r="K470" s="33">
        <v>10.35</v>
      </c>
      <c r="L470" s="31">
        <f t="shared" si="21"/>
        <v>99.36</v>
      </c>
      <c r="M470" t="str">
        <f t="shared" si="22"/>
        <v>Low Value Product</v>
      </c>
      <c r="N470" t="str">
        <f t="shared" si="23"/>
        <v>Low Revenue Product</v>
      </c>
    </row>
    <row r="471" spans="1:14" x14ac:dyDescent="0.35">
      <c r="A471" s="20" t="s">
        <v>467</v>
      </c>
      <c r="B471" s="21" t="s">
        <v>55</v>
      </c>
      <c r="C471" s="21" t="s">
        <v>56</v>
      </c>
      <c r="D471" s="8">
        <v>276</v>
      </c>
      <c r="E471" s="18" t="s">
        <v>476</v>
      </c>
      <c r="F471" s="21">
        <v>155</v>
      </c>
      <c r="G471" s="21">
        <v>90248091</v>
      </c>
      <c r="H471" s="21" t="s">
        <v>354</v>
      </c>
      <c r="I471" s="28" t="s">
        <v>21</v>
      </c>
      <c r="J471" s="21">
        <v>6</v>
      </c>
      <c r="K471" s="34">
        <v>0.01</v>
      </c>
      <c r="L471" s="31">
        <f t="shared" si="21"/>
        <v>0.06</v>
      </c>
      <c r="M471" t="str">
        <f t="shared" si="22"/>
        <v>Low Value Product</v>
      </c>
      <c r="N471" t="str">
        <f t="shared" si="23"/>
        <v>Low Revenue Product</v>
      </c>
    </row>
    <row r="472" spans="1:14" x14ac:dyDescent="0.35">
      <c r="A472" s="19" t="s">
        <v>467</v>
      </c>
      <c r="B472" s="18" t="s">
        <v>11</v>
      </c>
      <c r="C472" s="18" t="s">
        <v>12</v>
      </c>
      <c r="D472" s="7">
        <v>643</v>
      </c>
      <c r="E472" s="18" t="s">
        <v>479</v>
      </c>
      <c r="F472" s="18">
        <v>151</v>
      </c>
      <c r="G472" s="18">
        <v>84254900</v>
      </c>
      <c r="H472" s="18" t="s">
        <v>342</v>
      </c>
      <c r="I472" s="27" t="s">
        <v>21</v>
      </c>
      <c r="J472" s="18">
        <v>38</v>
      </c>
      <c r="K472" s="33">
        <v>0.02</v>
      </c>
      <c r="L472" s="31">
        <f t="shared" si="21"/>
        <v>0.76</v>
      </c>
      <c r="M472" t="str">
        <f t="shared" si="22"/>
        <v>Low Value Product</v>
      </c>
      <c r="N472" t="str">
        <f t="shared" si="23"/>
        <v>Low Revenue Product</v>
      </c>
    </row>
    <row r="473" spans="1:14" x14ac:dyDescent="0.35">
      <c r="A473" s="19" t="s">
        <v>467</v>
      </c>
      <c r="B473" s="18" t="s">
        <v>14</v>
      </c>
      <c r="C473" s="18" t="s">
        <v>15</v>
      </c>
      <c r="D473" s="7">
        <v>250</v>
      </c>
      <c r="E473" s="18" t="s">
        <v>476</v>
      </c>
      <c r="F473" s="18">
        <v>155</v>
      </c>
      <c r="G473" s="18">
        <v>62102030</v>
      </c>
      <c r="H473" s="18" t="s">
        <v>152</v>
      </c>
      <c r="I473" s="28" t="s">
        <v>2</v>
      </c>
      <c r="J473" s="21">
        <v>17</v>
      </c>
      <c r="K473" s="34">
        <v>0</v>
      </c>
      <c r="L473" s="31">
        <f t="shared" si="21"/>
        <v>0</v>
      </c>
      <c r="M473" t="str">
        <f t="shared" si="22"/>
        <v>Low Value Product</v>
      </c>
      <c r="N473" t="str">
        <f t="shared" si="23"/>
        <v>Low Revenue Product</v>
      </c>
    </row>
    <row r="474" spans="1:14" x14ac:dyDescent="0.35">
      <c r="A474" s="15" t="s">
        <v>467</v>
      </c>
      <c r="B474" s="16" t="s">
        <v>22</v>
      </c>
      <c r="C474" s="16" t="s">
        <v>23</v>
      </c>
      <c r="D474" s="17">
        <v>380</v>
      </c>
      <c r="E474" s="18" t="s">
        <v>477</v>
      </c>
      <c r="F474" s="16">
        <v>39</v>
      </c>
      <c r="G474" s="16">
        <v>61045990</v>
      </c>
      <c r="H474" s="16" t="s">
        <v>276</v>
      </c>
      <c r="I474" s="27" t="s">
        <v>21</v>
      </c>
      <c r="J474" s="18">
        <v>1732</v>
      </c>
      <c r="K474" s="33">
        <v>1.1100000000000001</v>
      </c>
      <c r="L474" s="31">
        <f t="shared" si="21"/>
        <v>1922.5200000000002</v>
      </c>
      <c r="M474" t="str">
        <f t="shared" si="22"/>
        <v>Low Value Product</v>
      </c>
      <c r="N474" t="str">
        <f t="shared" si="23"/>
        <v>Low Revenue Product</v>
      </c>
    </row>
    <row r="475" spans="1:14" x14ac:dyDescent="0.35">
      <c r="A475" s="20" t="s">
        <v>467</v>
      </c>
      <c r="B475" s="21" t="s">
        <v>65</v>
      </c>
      <c r="C475" s="21" t="s">
        <v>66</v>
      </c>
      <c r="D475" s="8">
        <v>470</v>
      </c>
      <c r="E475" s="18" t="s">
        <v>477</v>
      </c>
      <c r="F475" s="21">
        <v>39</v>
      </c>
      <c r="G475" s="21">
        <v>40129049</v>
      </c>
      <c r="H475" s="21" t="s">
        <v>225</v>
      </c>
      <c r="I475" s="28" t="s">
        <v>21</v>
      </c>
      <c r="J475" s="21">
        <v>6012</v>
      </c>
      <c r="K475" s="34">
        <v>0.36</v>
      </c>
      <c r="L475" s="31">
        <f t="shared" si="21"/>
        <v>2164.3199999999997</v>
      </c>
      <c r="M475" t="str">
        <f t="shared" si="22"/>
        <v>Low Value Product</v>
      </c>
      <c r="N475" t="str">
        <f t="shared" si="23"/>
        <v>Low Revenue Product</v>
      </c>
    </row>
    <row r="476" spans="1:14" x14ac:dyDescent="0.35">
      <c r="A476" s="19" t="s">
        <v>468</v>
      </c>
      <c r="B476" s="18" t="s">
        <v>75</v>
      </c>
      <c r="C476" s="18" t="s">
        <v>76</v>
      </c>
      <c r="D476" s="7">
        <v>578</v>
      </c>
      <c r="E476" s="18" t="s">
        <v>478</v>
      </c>
      <c r="F476" s="18">
        <v>154</v>
      </c>
      <c r="G476" s="18">
        <v>56039300</v>
      </c>
      <c r="H476" s="18" t="s">
        <v>361</v>
      </c>
      <c r="I476" s="27" t="s">
        <v>2</v>
      </c>
      <c r="J476" s="18">
        <v>0.65</v>
      </c>
      <c r="K476" s="33">
        <v>3.59</v>
      </c>
      <c r="L476" s="31">
        <f t="shared" si="21"/>
        <v>2.3334999999999999</v>
      </c>
      <c r="M476" t="str">
        <f t="shared" si="22"/>
        <v>Low Value Product</v>
      </c>
      <c r="N476" t="str">
        <f t="shared" si="23"/>
        <v>Low Revenue Product</v>
      </c>
    </row>
    <row r="477" spans="1:14" x14ac:dyDescent="0.35">
      <c r="A477" s="20" t="s">
        <v>468</v>
      </c>
      <c r="B477" s="21" t="s">
        <v>18</v>
      </c>
      <c r="C477" s="21" t="s">
        <v>19</v>
      </c>
      <c r="D477" s="8">
        <v>620</v>
      </c>
      <c r="E477" s="18" t="s">
        <v>477</v>
      </c>
      <c r="F477" s="21">
        <v>39</v>
      </c>
      <c r="G477" s="21">
        <v>71039990</v>
      </c>
      <c r="H477" s="21" t="s">
        <v>297</v>
      </c>
      <c r="I477" s="28" t="s">
        <v>21</v>
      </c>
      <c r="J477" s="21">
        <v>1.01</v>
      </c>
      <c r="K477" s="34">
        <v>21.39</v>
      </c>
      <c r="L477" s="31">
        <f t="shared" si="21"/>
        <v>21.603899999999999</v>
      </c>
      <c r="M477" t="str">
        <f t="shared" si="22"/>
        <v>Low Value Product</v>
      </c>
      <c r="N477" t="str">
        <f t="shared" si="23"/>
        <v>Low Revenue Product</v>
      </c>
    </row>
    <row r="478" spans="1:14" x14ac:dyDescent="0.35">
      <c r="A478" s="15" t="s">
        <v>468</v>
      </c>
      <c r="B478" s="16" t="s">
        <v>51</v>
      </c>
      <c r="C478" s="16" t="s">
        <v>52</v>
      </c>
      <c r="D478" s="17">
        <v>616</v>
      </c>
      <c r="E478" s="18" t="s">
        <v>479</v>
      </c>
      <c r="F478" s="16">
        <v>151</v>
      </c>
      <c r="G478" s="16">
        <v>84137099</v>
      </c>
      <c r="H478" s="16" t="s">
        <v>10</v>
      </c>
      <c r="I478" s="27" t="s">
        <v>2</v>
      </c>
      <c r="J478" s="18">
        <v>2.5</v>
      </c>
      <c r="K478" s="33">
        <v>7.63</v>
      </c>
      <c r="L478" s="31">
        <f t="shared" si="21"/>
        <v>19.074999999999999</v>
      </c>
      <c r="M478" t="str">
        <f t="shared" si="22"/>
        <v>Low Value Product</v>
      </c>
      <c r="N478" t="str">
        <f t="shared" si="23"/>
        <v>Low Revenue Product</v>
      </c>
    </row>
    <row r="479" spans="1:14" x14ac:dyDescent="0.35">
      <c r="A479" s="19" t="s">
        <v>468</v>
      </c>
      <c r="B479" s="18" t="s">
        <v>369</v>
      </c>
      <c r="C479" s="18" t="s">
        <v>3</v>
      </c>
      <c r="D479" s="7">
        <v>528</v>
      </c>
      <c r="E479" s="18" t="s">
        <v>476</v>
      </c>
      <c r="F479" s="18">
        <v>155</v>
      </c>
      <c r="G479" s="18">
        <v>96099030</v>
      </c>
      <c r="H479" s="18" t="s">
        <v>4</v>
      </c>
      <c r="I479" s="28" t="s">
        <v>145</v>
      </c>
      <c r="J479" s="21">
        <v>0.16</v>
      </c>
      <c r="K479" s="34">
        <v>0.2</v>
      </c>
      <c r="L479" s="31">
        <f t="shared" si="21"/>
        <v>3.2000000000000001E-2</v>
      </c>
      <c r="M479" t="str">
        <f t="shared" si="22"/>
        <v>Low Value Product</v>
      </c>
      <c r="N479" t="str">
        <f t="shared" si="23"/>
        <v>Low Revenue Product</v>
      </c>
    </row>
    <row r="480" spans="1:14" x14ac:dyDescent="0.35">
      <c r="A480" s="19" t="s">
        <v>469</v>
      </c>
      <c r="B480" s="18" t="s">
        <v>78</v>
      </c>
      <c r="C480" s="18" t="s">
        <v>79</v>
      </c>
      <c r="D480" s="7">
        <v>208</v>
      </c>
      <c r="E480" s="18" t="s">
        <v>478</v>
      </c>
      <c r="F480" s="18">
        <v>154</v>
      </c>
      <c r="G480" s="18">
        <v>95051000</v>
      </c>
      <c r="H480" s="18" t="s">
        <v>355</v>
      </c>
      <c r="I480" s="27" t="s">
        <v>2</v>
      </c>
      <c r="J480" s="18">
        <v>2.83</v>
      </c>
      <c r="K480" s="33">
        <v>8.93</v>
      </c>
      <c r="L480" s="31">
        <f t="shared" si="21"/>
        <v>25.271899999999999</v>
      </c>
      <c r="M480" t="str">
        <f t="shared" si="22"/>
        <v>Low Value Product</v>
      </c>
      <c r="N480" t="str">
        <f t="shared" si="23"/>
        <v>Low Revenue Product</v>
      </c>
    </row>
    <row r="481" spans="1:14" x14ac:dyDescent="0.35">
      <c r="A481" s="20" t="s">
        <v>469</v>
      </c>
      <c r="B481" s="21" t="s">
        <v>22</v>
      </c>
      <c r="C481" s="21" t="s">
        <v>23</v>
      </c>
      <c r="D481" s="8">
        <v>380</v>
      </c>
      <c r="E481" s="18" t="s">
        <v>477</v>
      </c>
      <c r="F481" s="21">
        <v>39</v>
      </c>
      <c r="G481" s="21">
        <v>39262011</v>
      </c>
      <c r="H481" s="21" t="s">
        <v>277</v>
      </c>
      <c r="I481" s="28" t="s">
        <v>2</v>
      </c>
      <c r="J481" s="21">
        <v>0.45</v>
      </c>
      <c r="K481" s="34">
        <v>1.9</v>
      </c>
      <c r="L481" s="31">
        <f t="shared" si="21"/>
        <v>0.85499999999999998</v>
      </c>
      <c r="M481" t="str">
        <f t="shared" si="22"/>
        <v>Low Value Product</v>
      </c>
      <c r="N481" t="str">
        <f t="shared" si="23"/>
        <v>Low Revenue Product</v>
      </c>
    </row>
    <row r="482" spans="1:14" x14ac:dyDescent="0.35">
      <c r="A482" s="19" t="s">
        <v>469</v>
      </c>
      <c r="B482" s="18" t="s">
        <v>370</v>
      </c>
      <c r="C482" s="18" t="s">
        <v>0</v>
      </c>
      <c r="D482" s="7">
        <v>826</v>
      </c>
      <c r="E482" s="18" t="s">
        <v>478</v>
      </c>
      <c r="F482" s="18">
        <v>154</v>
      </c>
      <c r="G482" s="18">
        <v>83023090</v>
      </c>
      <c r="H482" s="18" t="s">
        <v>10</v>
      </c>
      <c r="I482" s="27" t="s">
        <v>2</v>
      </c>
      <c r="J482" s="18">
        <v>0.92</v>
      </c>
      <c r="K482" s="33">
        <v>11.55</v>
      </c>
      <c r="L482" s="31">
        <f t="shared" si="21"/>
        <v>10.626000000000001</v>
      </c>
      <c r="M482" t="str">
        <f t="shared" si="22"/>
        <v>Low Value Product</v>
      </c>
      <c r="N482" t="str">
        <f t="shared" si="23"/>
        <v>Low Revenue Product</v>
      </c>
    </row>
    <row r="483" spans="1:14" x14ac:dyDescent="0.35">
      <c r="A483" s="19" t="s">
        <v>470</v>
      </c>
      <c r="B483" s="18" t="s">
        <v>5</v>
      </c>
      <c r="C483" s="18" t="s">
        <v>6</v>
      </c>
      <c r="D483" s="7">
        <v>756</v>
      </c>
      <c r="E483" s="18" t="s">
        <v>476</v>
      </c>
      <c r="F483" s="18">
        <v>155</v>
      </c>
      <c r="G483" s="18">
        <v>87114010</v>
      </c>
      <c r="H483" s="18" t="s">
        <v>226</v>
      </c>
      <c r="I483" s="28" t="s">
        <v>2</v>
      </c>
      <c r="J483" s="21">
        <v>8.8000000000000007</v>
      </c>
      <c r="K483" s="34">
        <v>256.72000000000003</v>
      </c>
      <c r="L483" s="31">
        <f t="shared" si="21"/>
        <v>2259.1360000000004</v>
      </c>
      <c r="M483" t="str">
        <f t="shared" si="22"/>
        <v>Low Value Product</v>
      </c>
      <c r="N483" t="str">
        <f t="shared" si="23"/>
        <v>Low Revenue Product</v>
      </c>
    </row>
    <row r="484" spans="1:14" x14ac:dyDescent="0.35">
      <c r="A484" s="15" t="s">
        <v>470</v>
      </c>
      <c r="B484" s="16" t="s">
        <v>14</v>
      </c>
      <c r="C484" s="16" t="s">
        <v>15</v>
      </c>
      <c r="D484" s="17">
        <v>250</v>
      </c>
      <c r="E484" s="18" t="s">
        <v>476</v>
      </c>
      <c r="F484" s="16">
        <v>155</v>
      </c>
      <c r="G484" s="16">
        <v>29337900</v>
      </c>
      <c r="H484" s="16" t="s">
        <v>520</v>
      </c>
      <c r="I484" s="27" t="s">
        <v>21</v>
      </c>
      <c r="J484" s="18">
        <v>0.03</v>
      </c>
      <c r="K484" s="33">
        <v>75.77</v>
      </c>
      <c r="L484" s="31">
        <f t="shared" si="21"/>
        <v>2.2730999999999999</v>
      </c>
      <c r="M484" t="str">
        <f t="shared" si="22"/>
        <v>Low Value Product</v>
      </c>
      <c r="N484" t="str">
        <f t="shared" si="23"/>
        <v>Low Revenue Product</v>
      </c>
    </row>
    <row r="485" spans="1:14" x14ac:dyDescent="0.35">
      <c r="A485" s="19" t="s">
        <v>471</v>
      </c>
      <c r="B485" s="18" t="s">
        <v>11</v>
      </c>
      <c r="C485" s="18" t="s">
        <v>12</v>
      </c>
      <c r="D485" s="7">
        <v>643</v>
      </c>
      <c r="E485" s="18" t="s">
        <v>479</v>
      </c>
      <c r="F485" s="18">
        <v>151</v>
      </c>
      <c r="G485" s="18">
        <v>21069099</v>
      </c>
      <c r="H485" s="18" t="s">
        <v>331</v>
      </c>
      <c r="I485" s="28" t="s">
        <v>2</v>
      </c>
      <c r="J485" s="21">
        <v>0.06</v>
      </c>
      <c r="K485" s="34">
        <v>47.82</v>
      </c>
      <c r="L485" s="31">
        <f t="shared" si="21"/>
        <v>2.8691999999999998</v>
      </c>
      <c r="M485" t="str">
        <f t="shared" si="22"/>
        <v>Low Value Product</v>
      </c>
      <c r="N485" t="str">
        <f t="shared" si="23"/>
        <v>Low Revenue Product</v>
      </c>
    </row>
    <row r="486" spans="1:14" x14ac:dyDescent="0.35">
      <c r="A486" s="19" t="s">
        <v>471</v>
      </c>
      <c r="B486" s="18" t="s">
        <v>55</v>
      </c>
      <c r="C486" s="18" t="s">
        <v>56</v>
      </c>
      <c r="D486" s="7">
        <v>276</v>
      </c>
      <c r="E486" s="18" t="s">
        <v>476</v>
      </c>
      <c r="F486" s="18">
        <v>155</v>
      </c>
      <c r="G486" s="18">
        <v>62104090</v>
      </c>
      <c r="H486" s="18" t="s">
        <v>501</v>
      </c>
      <c r="I486" s="27" t="s">
        <v>21</v>
      </c>
      <c r="J486" s="18">
        <v>0.02</v>
      </c>
      <c r="K486" s="33">
        <v>0.19</v>
      </c>
      <c r="L486" s="31">
        <f t="shared" si="21"/>
        <v>3.8E-3</v>
      </c>
      <c r="M486" t="str">
        <f t="shared" si="22"/>
        <v>Low Value Product</v>
      </c>
      <c r="N486" t="str">
        <f t="shared" si="23"/>
        <v>Low Revenue Product</v>
      </c>
    </row>
    <row r="487" spans="1:14" x14ac:dyDescent="0.35">
      <c r="A487" s="20" t="s">
        <v>471</v>
      </c>
      <c r="B487" s="21" t="s">
        <v>44</v>
      </c>
      <c r="C487" s="21" t="s">
        <v>45</v>
      </c>
      <c r="D487" s="8">
        <v>56</v>
      </c>
      <c r="E487" s="18" t="s">
        <v>476</v>
      </c>
      <c r="F487" s="21">
        <v>155</v>
      </c>
      <c r="G487" s="21">
        <v>30049044</v>
      </c>
      <c r="H487" s="21" t="s">
        <v>124</v>
      </c>
      <c r="I487" s="28" t="s">
        <v>2</v>
      </c>
      <c r="J487" s="21">
        <v>1.5</v>
      </c>
      <c r="K487" s="34">
        <v>3.37</v>
      </c>
      <c r="L487" s="31">
        <f t="shared" si="21"/>
        <v>5.0549999999999997</v>
      </c>
      <c r="M487" t="str">
        <f t="shared" si="22"/>
        <v>Low Value Product</v>
      </c>
      <c r="N487" t="str">
        <f t="shared" si="23"/>
        <v>Low Revenue Product</v>
      </c>
    </row>
    <row r="488" spans="1:14" x14ac:dyDescent="0.35">
      <c r="A488" s="15" t="s">
        <v>471</v>
      </c>
      <c r="B488" s="16" t="s">
        <v>44</v>
      </c>
      <c r="C488" s="16" t="s">
        <v>45</v>
      </c>
      <c r="D488" s="17">
        <v>56</v>
      </c>
      <c r="E488" s="18" t="s">
        <v>476</v>
      </c>
      <c r="F488" s="16">
        <v>155</v>
      </c>
      <c r="G488" s="16">
        <v>32041610</v>
      </c>
      <c r="H488" s="16" t="s">
        <v>282</v>
      </c>
      <c r="I488" s="27" t="s">
        <v>2</v>
      </c>
      <c r="J488" s="18">
        <v>10.48</v>
      </c>
      <c r="K488" s="33">
        <v>49.38</v>
      </c>
      <c r="L488" s="31">
        <f t="shared" si="21"/>
        <v>517.50240000000008</v>
      </c>
      <c r="M488" t="str">
        <f t="shared" si="22"/>
        <v>Low Value Product</v>
      </c>
      <c r="N488" t="str">
        <f t="shared" si="23"/>
        <v>Low Revenue Product</v>
      </c>
    </row>
    <row r="489" spans="1:14" x14ac:dyDescent="0.35">
      <c r="A489" s="19" t="s">
        <v>472</v>
      </c>
      <c r="B489" s="18" t="s">
        <v>369</v>
      </c>
      <c r="C489" s="18" t="s">
        <v>3</v>
      </c>
      <c r="D489" s="7">
        <v>528</v>
      </c>
      <c r="E489" s="18" t="s">
        <v>476</v>
      </c>
      <c r="F489" s="18">
        <v>155</v>
      </c>
      <c r="G489" s="18">
        <v>40169100</v>
      </c>
      <c r="H489" s="18" t="s">
        <v>34</v>
      </c>
      <c r="I489" s="28" t="s">
        <v>2</v>
      </c>
      <c r="J489" s="21">
        <v>84.16</v>
      </c>
      <c r="K489" s="34">
        <v>517.96</v>
      </c>
      <c r="L489" s="31">
        <f t="shared" si="21"/>
        <v>43591.513599999998</v>
      </c>
      <c r="M489" t="str">
        <f t="shared" si="22"/>
        <v>Low Value Product</v>
      </c>
      <c r="N489" t="str">
        <f t="shared" si="23"/>
        <v>Low Revenue Product</v>
      </c>
    </row>
    <row r="490" spans="1:14" x14ac:dyDescent="0.35">
      <c r="A490" s="15" t="s">
        <v>472</v>
      </c>
      <c r="B490" s="16" t="s">
        <v>62</v>
      </c>
      <c r="C490" s="16" t="s">
        <v>63</v>
      </c>
      <c r="D490" s="17">
        <v>752</v>
      </c>
      <c r="E490" s="18" t="s">
        <v>478</v>
      </c>
      <c r="F490" s="16">
        <v>154</v>
      </c>
      <c r="G490" s="16">
        <v>71131930</v>
      </c>
      <c r="H490" s="16" t="s">
        <v>190</v>
      </c>
      <c r="I490" s="27" t="s">
        <v>2</v>
      </c>
      <c r="J490" s="18">
        <v>161.07</v>
      </c>
      <c r="K490" s="33">
        <v>190.08</v>
      </c>
      <c r="L490" s="31">
        <f t="shared" si="21"/>
        <v>30616.185600000001</v>
      </c>
      <c r="M490" t="str">
        <f t="shared" si="22"/>
        <v>Low Value Product</v>
      </c>
      <c r="N490" t="str">
        <f t="shared" si="23"/>
        <v>Low Revenue Product</v>
      </c>
    </row>
    <row r="491" spans="1:14" x14ac:dyDescent="0.35">
      <c r="A491" s="20" t="s">
        <v>472</v>
      </c>
      <c r="B491" s="21" t="s">
        <v>14</v>
      </c>
      <c r="C491" s="21" t="s">
        <v>15</v>
      </c>
      <c r="D491" s="8">
        <v>250</v>
      </c>
      <c r="E491" s="18" t="s">
        <v>476</v>
      </c>
      <c r="F491" s="21">
        <v>155</v>
      </c>
      <c r="G491" s="21">
        <v>63079020</v>
      </c>
      <c r="H491" s="21" t="s">
        <v>165</v>
      </c>
      <c r="I491" s="28" t="s">
        <v>2</v>
      </c>
      <c r="J491" s="21">
        <v>0.01</v>
      </c>
      <c r="K491" s="34">
        <v>583.79</v>
      </c>
      <c r="L491" s="31">
        <f t="shared" si="21"/>
        <v>5.8378999999999994</v>
      </c>
      <c r="M491" t="str">
        <f t="shared" si="22"/>
        <v>Low Value Product</v>
      </c>
      <c r="N491" t="str">
        <f t="shared" si="23"/>
        <v>Low Revenue Product</v>
      </c>
    </row>
    <row r="492" spans="1:14" x14ac:dyDescent="0.35">
      <c r="A492" s="19" t="s">
        <v>472</v>
      </c>
      <c r="B492" s="18" t="s">
        <v>370</v>
      </c>
      <c r="C492" s="18" t="s">
        <v>0</v>
      </c>
      <c r="D492" s="7">
        <v>826</v>
      </c>
      <c r="E492" s="18" t="s">
        <v>478</v>
      </c>
      <c r="F492" s="18">
        <v>154</v>
      </c>
      <c r="G492" s="18">
        <v>90172020</v>
      </c>
      <c r="H492" s="18" t="s">
        <v>175</v>
      </c>
      <c r="I492" s="27" t="s">
        <v>21</v>
      </c>
      <c r="J492" s="18">
        <v>2.68</v>
      </c>
      <c r="K492" s="33">
        <v>1.43</v>
      </c>
      <c r="L492" s="31">
        <f t="shared" si="21"/>
        <v>3.8324000000000003</v>
      </c>
      <c r="M492" t="str">
        <f t="shared" si="22"/>
        <v>Low Value Product</v>
      </c>
      <c r="N492" t="str">
        <f t="shared" si="23"/>
        <v>Low Revenue Product</v>
      </c>
    </row>
    <row r="493" spans="1:14" x14ac:dyDescent="0.35">
      <c r="A493" s="19" t="s">
        <v>472</v>
      </c>
      <c r="B493" s="18" t="s">
        <v>60</v>
      </c>
      <c r="C493" s="18" t="s">
        <v>61</v>
      </c>
      <c r="D493" s="7">
        <v>724</v>
      </c>
      <c r="E493" s="18" t="s">
        <v>477</v>
      </c>
      <c r="F493" s="18">
        <v>39</v>
      </c>
      <c r="G493" s="18">
        <v>84212300</v>
      </c>
      <c r="H493" s="18" t="s">
        <v>611</v>
      </c>
      <c r="I493" s="28" t="s">
        <v>2</v>
      </c>
      <c r="J493" s="21">
        <v>5</v>
      </c>
      <c r="K493" s="34">
        <v>43.27</v>
      </c>
      <c r="L493" s="31">
        <f t="shared" si="21"/>
        <v>216.35000000000002</v>
      </c>
      <c r="M493" t="str">
        <f t="shared" si="22"/>
        <v>Low Value Product</v>
      </c>
      <c r="N493" t="str">
        <f t="shared" si="23"/>
        <v>Low Revenue Product</v>
      </c>
    </row>
    <row r="494" spans="1:14" x14ac:dyDescent="0.35">
      <c r="A494" s="15" t="s">
        <v>472</v>
      </c>
      <c r="B494" s="16" t="s">
        <v>55</v>
      </c>
      <c r="C494" s="16" t="s">
        <v>56</v>
      </c>
      <c r="D494" s="17">
        <v>276</v>
      </c>
      <c r="E494" s="18" t="s">
        <v>476</v>
      </c>
      <c r="F494" s="16">
        <v>155</v>
      </c>
      <c r="G494" s="16">
        <v>84828000</v>
      </c>
      <c r="H494" s="16" t="s">
        <v>484</v>
      </c>
      <c r="I494" s="27" t="s">
        <v>21</v>
      </c>
      <c r="J494" s="18">
        <v>1.0900000000000001</v>
      </c>
      <c r="K494" s="33">
        <v>0.79</v>
      </c>
      <c r="L494" s="31">
        <f t="shared" si="21"/>
        <v>0.86110000000000009</v>
      </c>
      <c r="M494" t="str">
        <f t="shared" si="22"/>
        <v>Low Value Product</v>
      </c>
      <c r="N494" t="str">
        <f t="shared" si="23"/>
        <v>Low Revenue Product</v>
      </c>
    </row>
    <row r="495" spans="1:14" x14ac:dyDescent="0.35">
      <c r="A495" s="20" t="s">
        <v>472</v>
      </c>
      <c r="B495" s="21" t="s">
        <v>11</v>
      </c>
      <c r="C495" s="21" t="s">
        <v>12</v>
      </c>
      <c r="D495" s="8">
        <v>643</v>
      </c>
      <c r="E495" s="18" t="s">
        <v>479</v>
      </c>
      <c r="F495" s="21">
        <v>151</v>
      </c>
      <c r="G495" s="21">
        <v>32041369</v>
      </c>
      <c r="H495" s="21" t="s">
        <v>95</v>
      </c>
      <c r="I495" s="28" t="s">
        <v>21</v>
      </c>
      <c r="J495" s="21">
        <v>591.17999999999995</v>
      </c>
      <c r="K495" s="34">
        <v>601.91999999999996</v>
      </c>
      <c r="L495" s="31">
        <f t="shared" si="21"/>
        <v>355843.06559999997</v>
      </c>
      <c r="M495" t="str">
        <f t="shared" si="22"/>
        <v>Low Value Product</v>
      </c>
      <c r="N495" t="str">
        <f t="shared" si="23"/>
        <v>High Revenue Product</v>
      </c>
    </row>
    <row r="496" spans="1:14" x14ac:dyDescent="0.35">
      <c r="A496" s="19" t="s">
        <v>472</v>
      </c>
      <c r="B496" s="18" t="s">
        <v>11</v>
      </c>
      <c r="C496" s="18" t="s">
        <v>12</v>
      </c>
      <c r="D496" s="7">
        <v>643</v>
      </c>
      <c r="E496" s="18" t="s">
        <v>479</v>
      </c>
      <c r="F496" s="18">
        <v>151</v>
      </c>
      <c r="G496" s="18">
        <v>12119032</v>
      </c>
      <c r="H496" s="18" t="s">
        <v>279</v>
      </c>
      <c r="I496" s="27" t="s">
        <v>2</v>
      </c>
      <c r="J496" s="18">
        <v>2.2000000000000002</v>
      </c>
      <c r="K496" s="33">
        <v>19.3</v>
      </c>
      <c r="L496" s="31">
        <f t="shared" si="21"/>
        <v>42.460000000000008</v>
      </c>
      <c r="M496" t="str">
        <f t="shared" si="22"/>
        <v>Low Value Product</v>
      </c>
      <c r="N496" t="str">
        <f t="shared" si="23"/>
        <v>Low Revenue Product</v>
      </c>
    </row>
    <row r="497" spans="1:14" x14ac:dyDescent="0.35">
      <c r="A497" s="19" t="s">
        <v>473</v>
      </c>
      <c r="B497" s="18" t="s">
        <v>370</v>
      </c>
      <c r="C497" s="18" t="s">
        <v>0</v>
      </c>
      <c r="D497" s="7">
        <v>826</v>
      </c>
      <c r="E497" s="18" t="s">
        <v>478</v>
      </c>
      <c r="F497" s="18">
        <v>154</v>
      </c>
      <c r="G497" s="18">
        <v>8071900</v>
      </c>
      <c r="H497" s="18" t="s">
        <v>519</v>
      </c>
      <c r="I497" s="28" t="s">
        <v>21</v>
      </c>
      <c r="J497" s="21">
        <v>0.91</v>
      </c>
      <c r="K497" s="34">
        <v>61.73</v>
      </c>
      <c r="L497" s="31">
        <f t="shared" si="21"/>
        <v>56.174300000000002</v>
      </c>
      <c r="M497" t="str">
        <f t="shared" si="22"/>
        <v>Low Value Product</v>
      </c>
      <c r="N497" t="str">
        <f t="shared" si="23"/>
        <v>Low Revenue Product</v>
      </c>
    </row>
    <row r="498" spans="1:14" x14ac:dyDescent="0.35">
      <c r="A498" s="15" t="s">
        <v>473</v>
      </c>
      <c r="B498" s="16" t="s">
        <v>14</v>
      </c>
      <c r="C498" s="16" t="s">
        <v>15</v>
      </c>
      <c r="D498" s="17">
        <v>250</v>
      </c>
      <c r="E498" s="18" t="s">
        <v>476</v>
      </c>
      <c r="F498" s="16">
        <v>155</v>
      </c>
      <c r="G498" s="16">
        <v>84836090</v>
      </c>
      <c r="H498" s="16" t="s">
        <v>10</v>
      </c>
      <c r="I498" s="27" t="s">
        <v>2</v>
      </c>
      <c r="J498" s="18">
        <v>1.92</v>
      </c>
      <c r="K498" s="33">
        <v>0.35</v>
      </c>
      <c r="L498" s="31">
        <f t="shared" si="21"/>
        <v>0.67199999999999993</v>
      </c>
      <c r="M498" t="str">
        <f t="shared" si="22"/>
        <v>Low Value Product</v>
      </c>
      <c r="N498" t="str">
        <f t="shared" si="23"/>
        <v>Low Revenue Product</v>
      </c>
    </row>
    <row r="499" spans="1:14" x14ac:dyDescent="0.35">
      <c r="A499" s="20" t="s">
        <v>474</v>
      </c>
      <c r="B499" s="21" t="s">
        <v>44</v>
      </c>
      <c r="C499" s="21" t="s">
        <v>45</v>
      </c>
      <c r="D499" s="8">
        <v>56</v>
      </c>
      <c r="E499" s="18" t="s">
        <v>476</v>
      </c>
      <c r="F499" s="21">
        <v>155</v>
      </c>
      <c r="G499" s="21">
        <v>28276090</v>
      </c>
      <c r="H499" s="21" t="s">
        <v>295</v>
      </c>
      <c r="I499" s="28" t="s">
        <v>2</v>
      </c>
      <c r="J499" s="21">
        <v>0.02</v>
      </c>
      <c r="K499" s="34">
        <v>1.62</v>
      </c>
      <c r="L499" s="31">
        <f t="shared" si="21"/>
        <v>3.2400000000000005E-2</v>
      </c>
      <c r="M499" t="str">
        <f t="shared" si="22"/>
        <v>Low Value Product</v>
      </c>
      <c r="N499" t="str">
        <f t="shared" si="23"/>
        <v>Low Revenue Product</v>
      </c>
    </row>
    <row r="500" spans="1:14" x14ac:dyDescent="0.35">
      <c r="A500" s="15" t="s">
        <v>474</v>
      </c>
      <c r="B500" s="16" t="s">
        <v>78</v>
      </c>
      <c r="C500" s="16" t="s">
        <v>79</v>
      </c>
      <c r="D500" s="17">
        <v>208</v>
      </c>
      <c r="E500" s="18" t="s">
        <v>478</v>
      </c>
      <c r="F500" s="16">
        <v>154</v>
      </c>
      <c r="G500" s="16">
        <v>38089199</v>
      </c>
      <c r="H500" s="16" t="s">
        <v>311</v>
      </c>
      <c r="I500" s="27" t="s">
        <v>2</v>
      </c>
      <c r="J500" s="18">
        <v>3.5</v>
      </c>
      <c r="K500" s="33">
        <v>19.2</v>
      </c>
      <c r="L500" s="31">
        <f t="shared" si="21"/>
        <v>67.2</v>
      </c>
      <c r="M500" t="str">
        <f t="shared" si="22"/>
        <v>Low Value Product</v>
      </c>
      <c r="N500" t="str">
        <f t="shared" si="23"/>
        <v>Low Revenue Product</v>
      </c>
    </row>
    <row r="501" spans="1:14" x14ac:dyDescent="0.35">
      <c r="A501" s="22" t="s">
        <v>474</v>
      </c>
      <c r="B501" s="12" t="s">
        <v>14</v>
      </c>
      <c r="C501" s="12" t="s">
        <v>15</v>
      </c>
      <c r="D501" s="23">
        <v>250</v>
      </c>
      <c r="E501" s="24" t="s">
        <v>476</v>
      </c>
      <c r="F501" s="12">
        <v>155</v>
      </c>
      <c r="G501" s="12">
        <v>84189900</v>
      </c>
      <c r="H501" s="12" t="s">
        <v>47</v>
      </c>
      <c r="I501" s="29" t="s">
        <v>2</v>
      </c>
      <c r="J501" s="13">
        <v>96.39</v>
      </c>
      <c r="K501" s="35">
        <v>396.17</v>
      </c>
      <c r="L501" s="31">
        <f t="shared" si="21"/>
        <v>38186.826300000001</v>
      </c>
      <c r="M501" t="str">
        <f t="shared" si="22"/>
        <v>Low Value Product</v>
      </c>
      <c r="N501" t="str">
        <f t="shared" si="23"/>
        <v>Low Revenue Product</v>
      </c>
    </row>
  </sheetData>
  <conditionalFormatting sqref="L1:L1048576">
    <cfRule type="top10" dxfId="0" priority="2" rank="10"/>
  </conditionalFormatting>
  <conditionalFormatting sqref="K1:K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{E8219FF0-0710-4B04-8CBB-FA9E5B462FFB}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219FF0-0710-4B04-8CBB-FA9E5B462F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K1:K1048576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CA757-5118-4D89-B351-EE3454653002}">
  <dimension ref="A3:B105"/>
  <sheetViews>
    <sheetView workbookViewId="0">
      <selection activeCell="N14" sqref="N14"/>
    </sheetView>
  </sheetViews>
  <sheetFormatPr defaultRowHeight="14.5" x14ac:dyDescent="0.35"/>
  <cols>
    <col min="1" max="1" width="12.453125" bestFit="1" customWidth="1"/>
    <col min="2" max="2" width="31.54296875" bestFit="1" customWidth="1"/>
    <col min="3" max="3" width="5.54296875" bestFit="1" customWidth="1"/>
    <col min="4" max="4" width="5" bestFit="1" customWidth="1"/>
    <col min="5" max="5" width="5.08984375" bestFit="1" customWidth="1"/>
    <col min="6" max="6" width="5.36328125" bestFit="1" customWidth="1"/>
    <col min="7" max="7" width="4.81640625" bestFit="1" customWidth="1"/>
    <col min="8" max="8" width="6" bestFit="1" customWidth="1"/>
    <col min="9" max="9" width="7.6328125" bestFit="1" customWidth="1"/>
    <col min="10" max="10" width="7.90625" bestFit="1" customWidth="1"/>
    <col min="11" max="11" width="7.6328125" bestFit="1" customWidth="1"/>
    <col min="12" max="12" width="7.90625" bestFit="1" customWidth="1"/>
    <col min="13" max="13" width="8.54296875" bestFit="1" customWidth="1"/>
    <col min="14" max="14" width="7.7265625" bestFit="1" customWidth="1"/>
    <col min="15" max="15" width="7.6328125" bestFit="1" customWidth="1"/>
    <col min="16" max="16" width="7.90625" bestFit="1" customWidth="1"/>
    <col min="17" max="17" width="7.6328125" bestFit="1" customWidth="1"/>
    <col min="18" max="18" width="7.90625" bestFit="1" customWidth="1"/>
    <col min="19" max="21" width="7.6328125" bestFit="1" customWidth="1"/>
    <col min="22" max="22" width="7.36328125" bestFit="1" customWidth="1"/>
    <col min="23" max="23" width="7.6328125" bestFit="1" customWidth="1"/>
    <col min="24" max="24" width="7.90625" bestFit="1" customWidth="1"/>
    <col min="25" max="25" width="7.6328125" bestFit="1" customWidth="1"/>
    <col min="26" max="26" width="7.453125" bestFit="1" customWidth="1"/>
    <col min="27" max="27" width="6.6328125" bestFit="1" customWidth="1"/>
    <col min="28" max="28" width="6.90625" bestFit="1" customWidth="1"/>
    <col min="29" max="29" width="7.6328125" bestFit="1" customWidth="1"/>
    <col min="30" max="30" width="8.54296875" bestFit="1" customWidth="1"/>
    <col min="31" max="33" width="7.6328125" bestFit="1" customWidth="1"/>
    <col min="34" max="34" width="8.26953125" bestFit="1" customWidth="1"/>
    <col min="35" max="37" width="7.6328125" bestFit="1" customWidth="1"/>
    <col min="38" max="38" width="7.90625" bestFit="1" customWidth="1"/>
    <col min="39" max="39" width="6.6328125" bestFit="1" customWidth="1"/>
    <col min="40" max="40" width="6.90625" bestFit="1" customWidth="1"/>
    <col min="41" max="41" width="7.54296875" bestFit="1" customWidth="1"/>
    <col min="42" max="43" width="7.6328125" bestFit="1" customWidth="1"/>
    <col min="44" max="44" width="7.90625" bestFit="1" customWidth="1"/>
    <col min="45" max="47" width="7.6328125" bestFit="1" customWidth="1"/>
    <col min="48" max="48" width="6.6328125" bestFit="1" customWidth="1"/>
    <col min="49" max="49" width="7.6328125" bestFit="1" customWidth="1"/>
    <col min="50" max="50" width="7.90625" bestFit="1" customWidth="1"/>
    <col min="51" max="54" width="7.6328125" bestFit="1" customWidth="1"/>
    <col min="55" max="55" width="6.6328125" bestFit="1" customWidth="1"/>
    <col min="56" max="56" width="6.90625" bestFit="1" customWidth="1"/>
    <col min="57" max="57" width="7.54296875" bestFit="1" customWidth="1"/>
    <col min="58" max="58" width="8.26953125" bestFit="1" customWidth="1"/>
    <col min="59" max="59" width="7.6328125" bestFit="1" customWidth="1"/>
    <col min="60" max="60" width="8.54296875" bestFit="1" customWidth="1"/>
    <col min="61" max="61" width="7.453125" bestFit="1" customWidth="1"/>
    <col min="62" max="62" width="6.6328125" bestFit="1" customWidth="1"/>
    <col min="63" max="63" width="6.90625" bestFit="1" customWidth="1"/>
    <col min="64" max="64" width="6.6328125" bestFit="1" customWidth="1"/>
    <col min="65" max="65" width="6.90625" bestFit="1" customWidth="1"/>
    <col min="66" max="66" width="8.54296875" bestFit="1" customWidth="1"/>
    <col min="67" max="67" width="7.90625" bestFit="1" customWidth="1"/>
    <col min="68" max="68" width="7.36328125" bestFit="1" customWidth="1"/>
    <col min="69" max="69" width="7.90625" bestFit="1" customWidth="1"/>
    <col min="70" max="71" width="7.6328125" bestFit="1" customWidth="1"/>
    <col min="72" max="72" width="7.90625" bestFit="1" customWidth="1"/>
    <col min="73" max="73" width="6.90625" bestFit="1" customWidth="1"/>
    <col min="74" max="77" width="7.6328125" bestFit="1" customWidth="1"/>
    <col min="78" max="78" width="6.6328125" bestFit="1" customWidth="1"/>
    <col min="79" max="81" width="7.6328125" bestFit="1" customWidth="1"/>
    <col min="82" max="82" width="6.6328125" bestFit="1" customWidth="1"/>
    <col min="83" max="83" width="7.90625" bestFit="1" customWidth="1"/>
    <col min="84" max="85" width="7.6328125" bestFit="1" customWidth="1"/>
    <col min="86" max="86" width="5.08984375" bestFit="1" customWidth="1"/>
    <col min="87" max="87" width="5.36328125" bestFit="1" customWidth="1"/>
    <col min="88" max="89" width="7.90625" bestFit="1" customWidth="1"/>
    <col min="90" max="90" width="7.6328125" bestFit="1" customWidth="1"/>
    <col min="91" max="91" width="7.90625" bestFit="1" customWidth="1"/>
    <col min="92" max="92" width="7.6328125" bestFit="1" customWidth="1"/>
    <col min="93" max="93" width="7.90625" bestFit="1" customWidth="1"/>
    <col min="94" max="94" width="7.6328125" bestFit="1" customWidth="1"/>
    <col min="95" max="95" width="6.6328125" bestFit="1" customWidth="1"/>
    <col min="96" max="96" width="7.6328125" bestFit="1" customWidth="1"/>
    <col min="97" max="97" width="8.54296875" bestFit="1" customWidth="1"/>
    <col min="98" max="98" width="7.90625" bestFit="1" customWidth="1"/>
    <col min="99" max="99" width="6.90625" bestFit="1" customWidth="1"/>
    <col min="100" max="100" width="7.6328125" bestFit="1" customWidth="1"/>
    <col min="101" max="101" width="7.90625" bestFit="1" customWidth="1"/>
    <col min="102" max="102" width="6.6328125" bestFit="1" customWidth="1"/>
    <col min="103" max="103" width="7.6328125" bestFit="1" customWidth="1"/>
    <col min="104" max="109" width="7.90625" bestFit="1" customWidth="1"/>
    <col min="110" max="112" width="7.6328125" bestFit="1" customWidth="1"/>
    <col min="113" max="113" width="7.90625" bestFit="1" customWidth="1"/>
    <col min="114" max="114" width="6.08984375" bestFit="1" customWidth="1"/>
    <col min="115" max="115" width="6.36328125" bestFit="1" customWidth="1"/>
    <col min="116" max="116" width="7.6328125" bestFit="1" customWidth="1"/>
    <col min="117" max="118" width="8.6328125" bestFit="1" customWidth="1"/>
    <col min="119" max="119" width="7.36328125" bestFit="1" customWidth="1"/>
    <col min="120" max="120" width="8.36328125" bestFit="1" customWidth="1"/>
    <col min="121" max="121" width="10.6328125" bestFit="1" customWidth="1"/>
    <col min="122" max="122" width="8.6328125" bestFit="1" customWidth="1"/>
    <col min="123" max="123" width="8.36328125" bestFit="1" customWidth="1"/>
    <col min="124" max="124" width="9.08984375" bestFit="1" customWidth="1"/>
    <col min="125" max="125" width="6.36328125" bestFit="1" customWidth="1"/>
    <col min="126" max="126" width="9.54296875" bestFit="1" customWidth="1"/>
    <col min="127" max="128" width="7.08984375" bestFit="1" customWidth="1"/>
    <col min="129" max="129" width="9.90625" bestFit="1" customWidth="1"/>
    <col min="130" max="130" width="9.08984375" bestFit="1" customWidth="1"/>
    <col min="131" max="131" width="8.36328125" bestFit="1" customWidth="1"/>
    <col min="132" max="132" width="6.08984375" bestFit="1" customWidth="1"/>
    <col min="133" max="133" width="7" bestFit="1" customWidth="1"/>
    <col min="134" max="136" width="8.6328125" bestFit="1" customWidth="1"/>
    <col min="137" max="137" width="9.08984375" bestFit="1" customWidth="1"/>
    <col min="138" max="138" width="7.08984375" bestFit="1" customWidth="1"/>
    <col min="139" max="140" width="10.08984375" bestFit="1" customWidth="1"/>
    <col min="141" max="141" width="8" bestFit="1" customWidth="1"/>
    <col min="142" max="142" width="8.6328125" bestFit="1" customWidth="1"/>
    <col min="143" max="143" width="7.6328125" bestFit="1" customWidth="1"/>
    <col min="144" max="144" width="8.90625" bestFit="1" customWidth="1"/>
    <col min="145" max="145" width="7.36328125" bestFit="1" customWidth="1"/>
    <col min="146" max="146" width="9.90625" bestFit="1" customWidth="1"/>
    <col min="147" max="147" width="10.08984375" bestFit="1" customWidth="1"/>
    <col min="148" max="148" width="8.6328125" bestFit="1" customWidth="1"/>
    <col min="149" max="149" width="9.6328125" bestFit="1" customWidth="1"/>
    <col min="150" max="150" width="6.08984375" bestFit="1" customWidth="1"/>
    <col min="151" max="151" width="8.6328125" bestFit="1" customWidth="1"/>
    <col min="152" max="152" width="9.54296875" bestFit="1" customWidth="1"/>
    <col min="153" max="154" width="8.6328125" bestFit="1" customWidth="1"/>
    <col min="155" max="155" width="8.90625" bestFit="1" customWidth="1"/>
    <col min="156" max="157" width="9.6328125" bestFit="1" customWidth="1"/>
    <col min="158" max="158" width="9.08984375" bestFit="1" customWidth="1"/>
    <col min="159" max="159" width="8.6328125" bestFit="1" customWidth="1"/>
    <col min="160" max="160" width="8.08984375" bestFit="1" customWidth="1"/>
    <col min="161" max="161" width="10.36328125" bestFit="1" customWidth="1"/>
    <col min="162" max="162" width="10.08984375" bestFit="1" customWidth="1"/>
    <col min="163" max="163" width="6.08984375" bestFit="1" customWidth="1"/>
    <col min="164" max="164" width="8.6328125" bestFit="1" customWidth="1"/>
    <col min="165" max="165" width="7.6328125" bestFit="1" customWidth="1"/>
    <col min="166" max="166" width="9.90625" bestFit="1" customWidth="1"/>
    <col min="167" max="167" width="7.6328125" bestFit="1" customWidth="1"/>
    <col min="168" max="169" width="9.6328125" bestFit="1" customWidth="1"/>
    <col min="170" max="170" width="6.08984375" bestFit="1" customWidth="1"/>
    <col min="171" max="171" width="6.36328125" bestFit="1" customWidth="1"/>
    <col min="172" max="172" width="8.90625" bestFit="1" customWidth="1"/>
    <col min="173" max="175" width="8.6328125" bestFit="1" customWidth="1"/>
    <col min="176" max="176" width="7.6328125" bestFit="1" customWidth="1"/>
    <col min="177" max="177" width="8.54296875" bestFit="1" customWidth="1"/>
    <col min="178" max="178" width="7.08984375" bestFit="1" customWidth="1"/>
    <col min="179" max="179" width="8.36328125" bestFit="1" customWidth="1"/>
    <col min="180" max="180" width="9.08984375" bestFit="1" customWidth="1"/>
    <col min="181" max="181" width="8.36328125" bestFit="1" customWidth="1"/>
    <col min="182" max="182" width="7.08984375" bestFit="1" customWidth="1"/>
    <col min="183" max="183" width="7.6328125" bestFit="1" customWidth="1"/>
    <col min="184" max="184" width="9.08984375" bestFit="1" customWidth="1"/>
    <col min="185" max="185" width="8.90625" bestFit="1" customWidth="1"/>
    <col min="186" max="186" width="9.08984375" bestFit="1" customWidth="1"/>
    <col min="187" max="187" width="9.54296875" bestFit="1" customWidth="1"/>
    <col min="188" max="188" width="8.90625" bestFit="1" customWidth="1"/>
    <col min="189" max="189" width="8.08984375" bestFit="1" customWidth="1"/>
    <col min="190" max="190" width="8.90625" bestFit="1" customWidth="1"/>
    <col min="191" max="191" width="10.6328125" bestFit="1" customWidth="1"/>
    <col min="192" max="192" width="8.08984375" bestFit="1" customWidth="1"/>
    <col min="193" max="193" width="5.08984375" bestFit="1" customWidth="1"/>
    <col min="194" max="194" width="5.36328125" bestFit="1" customWidth="1"/>
    <col min="195" max="195" width="7.6328125" bestFit="1" customWidth="1"/>
    <col min="196" max="196" width="6.6328125" bestFit="1" customWidth="1"/>
    <col min="197" max="198" width="7.6328125" bestFit="1" customWidth="1"/>
    <col min="199" max="200" width="6.6328125" bestFit="1" customWidth="1"/>
    <col min="201" max="201" width="8.54296875" bestFit="1" customWidth="1"/>
    <col min="202" max="204" width="7.90625" bestFit="1" customWidth="1"/>
    <col min="205" max="205" width="6.6328125" bestFit="1" customWidth="1"/>
    <col min="206" max="208" width="7.6328125" bestFit="1" customWidth="1"/>
    <col min="209" max="209" width="6.08984375" bestFit="1" customWidth="1"/>
    <col min="210" max="210" width="8.08984375" bestFit="1" customWidth="1"/>
    <col min="211" max="211" width="8.90625" bestFit="1" customWidth="1"/>
    <col min="212" max="212" width="8.6328125" bestFit="1" customWidth="1"/>
    <col min="213" max="213" width="8.08984375" bestFit="1" customWidth="1"/>
    <col min="214" max="214" width="8" bestFit="1" customWidth="1"/>
    <col min="215" max="215" width="7.36328125" bestFit="1" customWidth="1"/>
    <col min="216" max="216" width="6.36328125" bestFit="1" customWidth="1"/>
    <col min="217" max="217" width="8.6328125" bestFit="1" customWidth="1"/>
    <col min="218" max="218" width="8.36328125" bestFit="1" customWidth="1"/>
    <col min="219" max="219" width="7.36328125" bestFit="1" customWidth="1"/>
    <col min="220" max="220" width="9.54296875" bestFit="1" customWidth="1"/>
    <col min="221" max="221" width="8.08984375" bestFit="1" customWidth="1"/>
    <col min="222" max="222" width="7.6328125" bestFit="1" customWidth="1"/>
    <col min="223" max="223" width="9.08984375" bestFit="1" customWidth="1"/>
    <col min="224" max="224" width="8.36328125" bestFit="1" customWidth="1"/>
    <col min="225" max="225" width="7.08984375" bestFit="1" customWidth="1"/>
    <col min="226" max="226" width="8.08984375" bestFit="1" customWidth="1"/>
    <col min="227" max="227" width="6.08984375" bestFit="1" customWidth="1"/>
    <col min="228" max="228" width="8.90625" bestFit="1" customWidth="1"/>
    <col min="229" max="230" width="8.6328125" bestFit="1" customWidth="1"/>
    <col min="231" max="231" width="8.08984375" bestFit="1" customWidth="1"/>
    <col min="232" max="232" width="9.6328125" bestFit="1" customWidth="1"/>
    <col min="233" max="233" width="8.6328125" bestFit="1" customWidth="1"/>
    <col min="234" max="234" width="9.6328125" bestFit="1" customWidth="1"/>
    <col min="235" max="235" width="7.08984375" bestFit="1" customWidth="1"/>
    <col min="236" max="236" width="8.6328125" bestFit="1" customWidth="1"/>
    <col min="237" max="237" width="7.08984375" bestFit="1" customWidth="1"/>
    <col min="238" max="238" width="8.08984375" bestFit="1" customWidth="1"/>
    <col min="239" max="239" width="6.08984375" bestFit="1" customWidth="1"/>
    <col min="240" max="240" width="8.6328125" bestFit="1" customWidth="1"/>
    <col min="241" max="241" width="7.36328125" bestFit="1" customWidth="1"/>
    <col min="242" max="242" width="5.08984375" bestFit="1" customWidth="1"/>
    <col min="243" max="243" width="5.36328125" bestFit="1" customWidth="1"/>
    <col min="244" max="246" width="7.6328125" bestFit="1" customWidth="1"/>
    <col min="247" max="247" width="7.90625" bestFit="1" customWidth="1"/>
    <col min="248" max="248" width="7.6328125" bestFit="1" customWidth="1"/>
    <col min="249" max="249" width="6.6328125" bestFit="1" customWidth="1"/>
    <col min="250" max="250" width="7.6328125" bestFit="1" customWidth="1"/>
    <col min="251" max="251" width="8.54296875" bestFit="1" customWidth="1"/>
    <col min="252" max="253" width="7.90625" bestFit="1" customWidth="1"/>
    <col min="254" max="256" width="8.6328125" bestFit="1" customWidth="1"/>
    <col min="257" max="258" width="8.08984375" bestFit="1" customWidth="1"/>
    <col min="259" max="259" width="6.08984375" bestFit="1" customWidth="1"/>
    <col min="260" max="260" width="8.6328125" bestFit="1" customWidth="1"/>
    <col min="261" max="261" width="7.36328125" bestFit="1" customWidth="1"/>
    <col min="262" max="262" width="8.6328125" bestFit="1" customWidth="1"/>
    <col min="263" max="263" width="9.08984375" bestFit="1" customWidth="1"/>
    <col min="264" max="264" width="7.90625" bestFit="1" customWidth="1"/>
    <col min="265" max="265" width="8.90625" bestFit="1" customWidth="1"/>
    <col min="266" max="266" width="7.6328125" bestFit="1" customWidth="1"/>
    <col min="267" max="267" width="7.90625" bestFit="1" customWidth="1"/>
    <col min="268" max="268" width="8.54296875" bestFit="1" customWidth="1"/>
    <col min="269" max="269" width="7.90625" bestFit="1" customWidth="1"/>
    <col min="270" max="270" width="8.90625" bestFit="1" customWidth="1"/>
    <col min="271" max="271" width="9.6328125" bestFit="1" customWidth="1"/>
    <col min="272" max="272" width="7.36328125" bestFit="1" customWidth="1"/>
    <col min="273" max="273" width="8.08984375" bestFit="1" customWidth="1"/>
    <col min="274" max="275" width="9.08984375" bestFit="1" customWidth="1"/>
    <col min="276" max="276" width="7.08984375" bestFit="1" customWidth="1"/>
    <col min="277" max="277" width="8.08984375" bestFit="1" customWidth="1"/>
    <col min="278" max="278" width="6.08984375" bestFit="1" customWidth="1"/>
    <col min="279" max="279" width="6.36328125" bestFit="1" customWidth="1"/>
    <col min="280" max="280" width="7.6328125" bestFit="1" customWidth="1"/>
    <col min="281" max="281" width="8.08984375" bestFit="1" customWidth="1"/>
    <col min="282" max="282" width="8.6328125" bestFit="1" customWidth="1"/>
    <col min="283" max="283" width="5.08984375" bestFit="1" customWidth="1"/>
    <col min="284" max="284" width="5.36328125" bestFit="1" customWidth="1"/>
    <col min="285" max="285" width="8.54296875" bestFit="1" customWidth="1"/>
    <col min="286" max="286" width="7.90625" bestFit="1" customWidth="1"/>
    <col min="287" max="287" width="7.6328125" bestFit="1" customWidth="1"/>
    <col min="288" max="288" width="6.6328125" bestFit="1" customWidth="1"/>
    <col min="289" max="289" width="8.54296875" bestFit="1" customWidth="1"/>
    <col min="290" max="290" width="7.90625" bestFit="1" customWidth="1"/>
    <col min="291" max="291" width="7.6328125" bestFit="1" customWidth="1"/>
    <col min="292" max="292" width="6.08984375" bestFit="1" customWidth="1"/>
    <col min="293" max="294" width="8.6328125" bestFit="1" customWidth="1"/>
    <col min="295" max="295" width="7.36328125" bestFit="1" customWidth="1"/>
    <col min="296" max="296" width="6.08984375" bestFit="1" customWidth="1"/>
    <col min="297" max="297" width="8.6328125" bestFit="1" customWidth="1"/>
    <col min="298" max="298" width="7.6328125" bestFit="1" customWidth="1"/>
    <col min="299" max="299" width="8.08984375" bestFit="1" customWidth="1"/>
    <col min="300" max="300" width="7.6328125" bestFit="1" customWidth="1"/>
    <col min="301" max="303" width="8.6328125" bestFit="1" customWidth="1"/>
    <col min="304" max="304" width="6.08984375" bestFit="1" customWidth="1"/>
    <col min="305" max="305" width="7.08984375" bestFit="1" customWidth="1"/>
    <col min="306" max="306" width="6.36328125" bestFit="1" customWidth="1"/>
    <col min="307" max="307" width="8.08984375" bestFit="1" customWidth="1"/>
    <col min="308" max="308" width="9.90625" bestFit="1" customWidth="1"/>
    <col min="309" max="310" width="8.08984375" bestFit="1" customWidth="1"/>
    <col min="311" max="311" width="5.08984375" bestFit="1" customWidth="1"/>
    <col min="312" max="312" width="7.6328125" bestFit="1" customWidth="1"/>
    <col min="313" max="314" width="7.90625" bestFit="1" customWidth="1"/>
    <col min="315" max="316" width="7.6328125" bestFit="1" customWidth="1"/>
    <col min="317" max="317" width="7.90625" bestFit="1" customWidth="1"/>
    <col min="318" max="318" width="6.08984375" bestFit="1" customWidth="1"/>
    <col min="319" max="319" width="8.6328125" bestFit="1" customWidth="1"/>
    <col min="320" max="320" width="8.90625" bestFit="1" customWidth="1"/>
    <col min="321" max="321" width="7.08984375" bestFit="1" customWidth="1"/>
    <col min="322" max="322" width="9.08984375" bestFit="1" customWidth="1"/>
    <col min="323" max="325" width="7.08984375" bestFit="1" customWidth="1"/>
    <col min="326" max="327" width="8.6328125" bestFit="1" customWidth="1"/>
    <col min="328" max="328" width="7.36328125" bestFit="1" customWidth="1"/>
    <col min="329" max="329" width="6.08984375" bestFit="1" customWidth="1"/>
    <col min="330" max="330" width="7.08984375" bestFit="1" customWidth="1"/>
    <col min="331" max="331" width="6.08984375" bestFit="1" customWidth="1"/>
    <col min="332" max="332" width="8.6328125" bestFit="1" customWidth="1"/>
    <col min="333" max="333" width="9.90625" bestFit="1" customWidth="1"/>
    <col min="334" max="334" width="5.08984375" bestFit="1" customWidth="1"/>
    <col min="335" max="335" width="5.36328125" bestFit="1" customWidth="1"/>
    <col min="336" max="336" width="7.90625" bestFit="1" customWidth="1"/>
    <col min="337" max="337" width="7.36328125" bestFit="1" customWidth="1"/>
    <col min="338" max="338" width="7.6328125" bestFit="1" customWidth="1"/>
    <col min="339" max="339" width="6.6328125" bestFit="1" customWidth="1"/>
    <col min="340" max="341" width="7.6328125" bestFit="1" customWidth="1"/>
    <col min="342" max="342" width="6.08984375" bestFit="1" customWidth="1"/>
    <col min="343" max="343" width="8.90625" bestFit="1" customWidth="1"/>
    <col min="344" max="344" width="8.36328125" bestFit="1" customWidth="1"/>
    <col min="345" max="345" width="8.90625" bestFit="1" customWidth="1"/>
    <col min="346" max="346" width="8.6328125" bestFit="1" customWidth="1"/>
    <col min="347" max="347" width="8.08984375" bestFit="1" customWidth="1"/>
    <col min="348" max="348" width="7.08984375" bestFit="1" customWidth="1"/>
    <col min="349" max="349" width="9.90625" bestFit="1" customWidth="1"/>
    <col min="350" max="350" width="6.08984375" bestFit="1" customWidth="1"/>
    <col min="351" max="351" width="9.6328125" bestFit="1" customWidth="1"/>
    <col min="352" max="352" width="7.36328125" bestFit="1" customWidth="1"/>
    <col min="353" max="355" width="7.6328125" bestFit="1" customWidth="1"/>
    <col min="356" max="356" width="6.08984375" bestFit="1" customWidth="1"/>
    <col min="357" max="357" width="7.36328125" bestFit="1" customWidth="1"/>
    <col min="358" max="360" width="6.08984375" bestFit="1" customWidth="1"/>
    <col min="361" max="361" width="8.08984375" bestFit="1" customWidth="1"/>
    <col min="362" max="362" width="7.6328125" bestFit="1" customWidth="1"/>
    <col min="363" max="363" width="8.6328125" bestFit="1" customWidth="1"/>
    <col min="364" max="364" width="8.08984375" bestFit="1" customWidth="1"/>
    <col min="365" max="365" width="8.36328125" bestFit="1" customWidth="1"/>
    <col min="366" max="366" width="7.08984375" bestFit="1" customWidth="1"/>
    <col min="367" max="367" width="5.08984375" bestFit="1" customWidth="1"/>
    <col min="368" max="368" width="7.90625" bestFit="1" customWidth="1"/>
    <col min="369" max="369" width="7.6328125" bestFit="1" customWidth="1"/>
    <col min="370" max="370" width="7.90625" bestFit="1" customWidth="1"/>
    <col min="371" max="372" width="7.6328125" bestFit="1" customWidth="1"/>
    <col min="373" max="373" width="6.6328125" bestFit="1" customWidth="1"/>
    <col min="374" max="374" width="7.36328125" bestFit="1" customWidth="1"/>
    <col min="375" max="375" width="9.6328125" bestFit="1" customWidth="1"/>
    <col min="376" max="377" width="8.6328125" bestFit="1" customWidth="1"/>
    <col min="378" max="378" width="6.36328125" bestFit="1" customWidth="1"/>
    <col min="379" max="379" width="7.36328125" bestFit="1" customWidth="1"/>
    <col min="381" max="381" width="7.08984375" bestFit="1" customWidth="1"/>
    <col min="382" max="382" width="5.36328125" bestFit="1" customWidth="1"/>
    <col min="383" max="383" width="6.6328125" bestFit="1" customWidth="1"/>
    <col min="384" max="384" width="7.6328125" bestFit="1" customWidth="1"/>
    <col min="385" max="385" width="7.90625" bestFit="1" customWidth="1"/>
    <col min="386" max="386" width="6.6328125" bestFit="1" customWidth="1"/>
    <col min="387" max="387" width="7.6328125" bestFit="1" customWidth="1"/>
    <col min="388" max="388" width="7.08984375" bestFit="1" customWidth="1"/>
    <col min="389" max="389" width="8.90625" bestFit="1" customWidth="1"/>
    <col min="390" max="390" width="8.6328125" bestFit="1" customWidth="1"/>
    <col min="391" max="391" width="8.90625" bestFit="1" customWidth="1"/>
    <col min="392" max="392" width="9.6328125" bestFit="1" customWidth="1"/>
    <col min="393" max="393" width="6.81640625" bestFit="1" customWidth="1"/>
    <col min="394" max="394" width="10.36328125" bestFit="1" customWidth="1"/>
  </cols>
  <sheetData>
    <row r="3" spans="1:2" x14ac:dyDescent="0.35">
      <c r="A3" s="36" t="s">
        <v>1018</v>
      </c>
      <c r="B3" t="s">
        <v>1021</v>
      </c>
    </row>
    <row r="4" spans="1:2" x14ac:dyDescent="0.35">
      <c r="A4" s="37" t="s">
        <v>474</v>
      </c>
      <c r="B4" s="38">
        <v>3</v>
      </c>
    </row>
    <row r="5" spans="1:2" x14ac:dyDescent="0.35">
      <c r="A5" s="37" t="s">
        <v>473</v>
      </c>
      <c r="B5" s="38">
        <v>2</v>
      </c>
    </row>
    <row r="6" spans="1:2" x14ac:dyDescent="0.35">
      <c r="A6" s="37" t="s">
        <v>472</v>
      </c>
      <c r="B6" s="38">
        <v>8</v>
      </c>
    </row>
    <row r="7" spans="1:2" x14ac:dyDescent="0.35">
      <c r="A7" s="37" t="s">
        <v>471</v>
      </c>
      <c r="B7" s="38">
        <v>4</v>
      </c>
    </row>
    <row r="8" spans="1:2" x14ac:dyDescent="0.35">
      <c r="A8" s="37" t="s">
        <v>470</v>
      </c>
      <c r="B8" s="38">
        <v>2</v>
      </c>
    </row>
    <row r="9" spans="1:2" x14ac:dyDescent="0.35">
      <c r="A9" s="37" t="s">
        <v>469</v>
      </c>
      <c r="B9" s="38">
        <v>3</v>
      </c>
    </row>
    <row r="10" spans="1:2" x14ac:dyDescent="0.35">
      <c r="A10" s="37" t="s">
        <v>468</v>
      </c>
      <c r="B10" s="38">
        <v>4</v>
      </c>
    </row>
    <row r="11" spans="1:2" x14ac:dyDescent="0.35">
      <c r="A11" s="37" t="s">
        <v>467</v>
      </c>
      <c r="B11" s="38">
        <v>5</v>
      </c>
    </row>
    <row r="12" spans="1:2" x14ac:dyDescent="0.35">
      <c r="A12" s="37" t="s">
        <v>466</v>
      </c>
      <c r="B12" s="38">
        <v>3</v>
      </c>
    </row>
    <row r="13" spans="1:2" x14ac:dyDescent="0.35">
      <c r="A13" s="37" t="s">
        <v>465</v>
      </c>
      <c r="B13" s="38">
        <v>5</v>
      </c>
    </row>
    <row r="14" spans="1:2" x14ac:dyDescent="0.35">
      <c r="A14" s="37" t="s">
        <v>464</v>
      </c>
      <c r="B14" s="38">
        <v>5</v>
      </c>
    </row>
    <row r="15" spans="1:2" x14ac:dyDescent="0.35">
      <c r="A15" s="37" t="s">
        <v>463</v>
      </c>
      <c r="B15" s="38">
        <v>6</v>
      </c>
    </row>
    <row r="16" spans="1:2" x14ac:dyDescent="0.35">
      <c r="A16" s="37" t="s">
        <v>462</v>
      </c>
      <c r="B16" s="38">
        <v>7</v>
      </c>
    </row>
    <row r="17" spans="1:2" x14ac:dyDescent="0.35">
      <c r="A17" s="37" t="s">
        <v>461</v>
      </c>
      <c r="B17" s="38">
        <v>3</v>
      </c>
    </row>
    <row r="18" spans="1:2" x14ac:dyDescent="0.35">
      <c r="A18" s="37" t="s">
        <v>460</v>
      </c>
      <c r="B18" s="38">
        <v>3</v>
      </c>
    </row>
    <row r="19" spans="1:2" x14ac:dyDescent="0.35">
      <c r="A19" s="37" t="s">
        <v>459</v>
      </c>
      <c r="B19" s="38">
        <v>4</v>
      </c>
    </row>
    <row r="20" spans="1:2" x14ac:dyDescent="0.35">
      <c r="A20" s="37" t="s">
        <v>458</v>
      </c>
      <c r="B20" s="38">
        <v>4</v>
      </c>
    </row>
    <row r="21" spans="1:2" x14ac:dyDescent="0.35">
      <c r="A21" s="37" t="s">
        <v>457</v>
      </c>
      <c r="B21" s="38">
        <v>2</v>
      </c>
    </row>
    <row r="22" spans="1:2" x14ac:dyDescent="0.35">
      <c r="A22" s="37" t="s">
        <v>456</v>
      </c>
      <c r="B22" s="38">
        <v>4</v>
      </c>
    </row>
    <row r="23" spans="1:2" x14ac:dyDescent="0.35">
      <c r="A23" s="37" t="s">
        <v>455</v>
      </c>
      <c r="B23" s="38">
        <v>5</v>
      </c>
    </row>
    <row r="24" spans="1:2" x14ac:dyDescent="0.35">
      <c r="A24" s="37" t="s">
        <v>454</v>
      </c>
      <c r="B24" s="38">
        <v>7</v>
      </c>
    </row>
    <row r="25" spans="1:2" x14ac:dyDescent="0.35">
      <c r="A25" s="37" t="s">
        <v>453</v>
      </c>
      <c r="B25" s="38">
        <v>1</v>
      </c>
    </row>
    <row r="26" spans="1:2" x14ac:dyDescent="0.35">
      <c r="A26" s="37" t="s">
        <v>452</v>
      </c>
      <c r="B26" s="38">
        <v>5</v>
      </c>
    </row>
    <row r="27" spans="1:2" x14ac:dyDescent="0.35">
      <c r="A27" s="37" t="s">
        <v>451</v>
      </c>
      <c r="B27" s="38">
        <v>10</v>
      </c>
    </row>
    <row r="28" spans="1:2" x14ac:dyDescent="0.35">
      <c r="A28" s="37" t="s">
        <v>450</v>
      </c>
      <c r="B28" s="38">
        <v>6</v>
      </c>
    </row>
    <row r="29" spans="1:2" x14ac:dyDescent="0.35">
      <c r="A29" s="37" t="s">
        <v>449</v>
      </c>
      <c r="B29" s="38">
        <v>4</v>
      </c>
    </row>
    <row r="30" spans="1:2" x14ac:dyDescent="0.35">
      <c r="A30" s="37" t="s">
        <v>448</v>
      </c>
      <c r="B30" s="38">
        <v>6</v>
      </c>
    </row>
    <row r="31" spans="1:2" x14ac:dyDescent="0.35">
      <c r="A31" s="37" t="s">
        <v>447</v>
      </c>
      <c r="B31" s="38">
        <v>4</v>
      </c>
    </row>
    <row r="32" spans="1:2" x14ac:dyDescent="0.35">
      <c r="A32" s="37" t="s">
        <v>446</v>
      </c>
      <c r="B32" s="38">
        <v>4</v>
      </c>
    </row>
    <row r="33" spans="1:2" x14ac:dyDescent="0.35">
      <c r="A33" s="37" t="s">
        <v>445</v>
      </c>
      <c r="B33" s="38">
        <v>2</v>
      </c>
    </row>
    <row r="34" spans="1:2" x14ac:dyDescent="0.35">
      <c r="A34" s="37" t="s">
        <v>444</v>
      </c>
      <c r="B34" s="38">
        <v>8</v>
      </c>
    </row>
    <row r="35" spans="1:2" x14ac:dyDescent="0.35">
      <c r="A35" s="37" t="s">
        <v>443</v>
      </c>
      <c r="B35" s="38">
        <v>4</v>
      </c>
    </row>
    <row r="36" spans="1:2" x14ac:dyDescent="0.35">
      <c r="A36" s="37" t="s">
        <v>442</v>
      </c>
      <c r="B36" s="38">
        <v>6</v>
      </c>
    </row>
    <row r="37" spans="1:2" x14ac:dyDescent="0.35">
      <c r="A37" s="37" t="s">
        <v>441</v>
      </c>
      <c r="B37" s="38">
        <v>5</v>
      </c>
    </row>
    <row r="38" spans="1:2" x14ac:dyDescent="0.35">
      <c r="A38" s="37" t="s">
        <v>440</v>
      </c>
      <c r="B38" s="38">
        <v>2</v>
      </c>
    </row>
    <row r="39" spans="1:2" x14ac:dyDescent="0.35">
      <c r="A39" s="37" t="s">
        <v>439</v>
      </c>
      <c r="B39" s="38">
        <v>6</v>
      </c>
    </row>
    <row r="40" spans="1:2" x14ac:dyDescent="0.35">
      <c r="A40" s="37" t="s">
        <v>438</v>
      </c>
      <c r="B40" s="38">
        <v>6</v>
      </c>
    </row>
    <row r="41" spans="1:2" x14ac:dyDescent="0.35">
      <c r="A41" s="37" t="s">
        <v>437</v>
      </c>
      <c r="B41" s="38">
        <v>5</v>
      </c>
    </row>
    <row r="42" spans="1:2" x14ac:dyDescent="0.35">
      <c r="A42" s="37" t="s">
        <v>436</v>
      </c>
      <c r="B42" s="38">
        <v>5</v>
      </c>
    </row>
    <row r="43" spans="1:2" x14ac:dyDescent="0.35">
      <c r="A43" s="37" t="s">
        <v>435</v>
      </c>
      <c r="B43" s="38">
        <v>10</v>
      </c>
    </row>
    <row r="44" spans="1:2" x14ac:dyDescent="0.35">
      <c r="A44" s="37" t="s">
        <v>434</v>
      </c>
      <c r="B44" s="38">
        <v>12</v>
      </c>
    </row>
    <row r="45" spans="1:2" x14ac:dyDescent="0.35">
      <c r="A45" s="37" t="s">
        <v>433</v>
      </c>
      <c r="B45" s="38">
        <v>6</v>
      </c>
    </row>
    <row r="46" spans="1:2" x14ac:dyDescent="0.35">
      <c r="A46" s="37" t="s">
        <v>432</v>
      </c>
      <c r="B46" s="38">
        <v>4</v>
      </c>
    </row>
    <row r="47" spans="1:2" x14ac:dyDescent="0.35">
      <c r="A47" s="37" t="s">
        <v>431</v>
      </c>
      <c r="B47" s="38">
        <v>5</v>
      </c>
    </row>
    <row r="48" spans="1:2" x14ac:dyDescent="0.35">
      <c r="A48" s="37" t="s">
        <v>430</v>
      </c>
      <c r="B48" s="38">
        <v>3</v>
      </c>
    </row>
    <row r="49" spans="1:2" x14ac:dyDescent="0.35">
      <c r="A49" s="37" t="s">
        <v>429</v>
      </c>
      <c r="B49" s="38">
        <v>7</v>
      </c>
    </row>
    <row r="50" spans="1:2" x14ac:dyDescent="0.35">
      <c r="A50" s="37" t="s">
        <v>428</v>
      </c>
      <c r="B50" s="38">
        <v>5</v>
      </c>
    </row>
    <row r="51" spans="1:2" x14ac:dyDescent="0.35">
      <c r="A51" s="37" t="s">
        <v>427</v>
      </c>
      <c r="B51" s="38">
        <v>8</v>
      </c>
    </row>
    <row r="52" spans="1:2" x14ac:dyDescent="0.35">
      <c r="A52" s="37" t="s">
        <v>426</v>
      </c>
      <c r="B52" s="38">
        <v>4</v>
      </c>
    </row>
    <row r="53" spans="1:2" x14ac:dyDescent="0.35">
      <c r="A53" s="37" t="s">
        <v>425</v>
      </c>
      <c r="B53" s="38">
        <v>2</v>
      </c>
    </row>
    <row r="54" spans="1:2" x14ac:dyDescent="0.35">
      <c r="A54" s="37" t="s">
        <v>424</v>
      </c>
      <c r="B54" s="38">
        <v>9</v>
      </c>
    </row>
    <row r="55" spans="1:2" x14ac:dyDescent="0.35">
      <c r="A55" s="37" t="s">
        <v>423</v>
      </c>
      <c r="B55" s="38">
        <v>3</v>
      </c>
    </row>
    <row r="56" spans="1:2" x14ac:dyDescent="0.35">
      <c r="A56" s="37" t="s">
        <v>422</v>
      </c>
      <c r="B56" s="38">
        <v>4</v>
      </c>
    </row>
    <row r="57" spans="1:2" x14ac:dyDescent="0.35">
      <c r="A57" s="37" t="s">
        <v>421</v>
      </c>
      <c r="B57" s="38">
        <v>3</v>
      </c>
    </row>
    <row r="58" spans="1:2" x14ac:dyDescent="0.35">
      <c r="A58" s="37" t="s">
        <v>420</v>
      </c>
      <c r="B58" s="38">
        <v>5</v>
      </c>
    </row>
    <row r="59" spans="1:2" x14ac:dyDescent="0.35">
      <c r="A59" s="37" t="s">
        <v>419</v>
      </c>
      <c r="B59" s="38">
        <v>5</v>
      </c>
    </row>
    <row r="60" spans="1:2" x14ac:dyDescent="0.35">
      <c r="A60" s="37" t="s">
        <v>418</v>
      </c>
      <c r="B60" s="38">
        <v>4</v>
      </c>
    </row>
    <row r="61" spans="1:2" x14ac:dyDescent="0.35">
      <c r="A61" s="37" t="s">
        <v>417</v>
      </c>
      <c r="B61" s="38">
        <v>6</v>
      </c>
    </row>
    <row r="62" spans="1:2" x14ac:dyDescent="0.35">
      <c r="A62" s="37" t="s">
        <v>416</v>
      </c>
      <c r="B62" s="38">
        <v>6</v>
      </c>
    </row>
    <row r="63" spans="1:2" x14ac:dyDescent="0.35">
      <c r="A63" s="37" t="s">
        <v>415</v>
      </c>
      <c r="B63" s="38">
        <v>5</v>
      </c>
    </row>
    <row r="64" spans="1:2" x14ac:dyDescent="0.35">
      <c r="A64" s="37" t="s">
        <v>414</v>
      </c>
      <c r="B64" s="38">
        <v>4</v>
      </c>
    </row>
    <row r="65" spans="1:2" x14ac:dyDescent="0.35">
      <c r="A65" s="37" t="s">
        <v>413</v>
      </c>
      <c r="B65" s="38">
        <v>2</v>
      </c>
    </row>
    <row r="66" spans="1:2" x14ac:dyDescent="0.35">
      <c r="A66" s="37" t="s">
        <v>412</v>
      </c>
      <c r="B66" s="38">
        <v>2</v>
      </c>
    </row>
    <row r="67" spans="1:2" x14ac:dyDescent="0.35">
      <c r="A67" s="37" t="s">
        <v>411</v>
      </c>
      <c r="B67" s="38">
        <v>4</v>
      </c>
    </row>
    <row r="68" spans="1:2" x14ac:dyDescent="0.35">
      <c r="A68" s="37" t="s">
        <v>410</v>
      </c>
      <c r="B68" s="38">
        <v>6</v>
      </c>
    </row>
    <row r="69" spans="1:2" x14ac:dyDescent="0.35">
      <c r="A69" s="37" t="s">
        <v>409</v>
      </c>
      <c r="B69" s="38">
        <v>4</v>
      </c>
    </row>
    <row r="70" spans="1:2" x14ac:dyDescent="0.35">
      <c r="A70" s="37" t="s">
        <v>408</v>
      </c>
      <c r="B70" s="38">
        <v>6</v>
      </c>
    </row>
    <row r="71" spans="1:2" x14ac:dyDescent="0.35">
      <c r="A71" s="37" t="s">
        <v>407</v>
      </c>
      <c r="B71" s="38">
        <v>9</v>
      </c>
    </row>
    <row r="72" spans="1:2" x14ac:dyDescent="0.35">
      <c r="A72" s="37" t="s">
        <v>406</v>
      </c>
      <c r="B72" s="38">
        <v>5</v>
      </c>
    </row>
    <row r="73" spans="1:2" x14ac:dyDescent="0.35">
      <c r="A73" s="37" t="s">
        <v>405</v>
      </c>
      <c r="B73" s="38">
        <v>5</v>
      </c>
    </row>
    <row r="74" spans="1:2" x14ac:dyDescent="0.35">
      <c r="A74" s="37" t="s">
        <v>404</v>
      </c>
      <c r="B74" s="38">
        <v>5</v>
      </c>
    </row>
    <row r="75" spans="1:2" x14ac:dyDescent="0.35">
      <c r="A75" s="37" t="s">
        <v>403</v>
      </c>
      <c r="B75" s="38">
        <v>3</v>
      </c>
    </row>
    <row r="76" spans="1:2" x14ac:dyDescent="0.35">
      <c r="A76" s="37" t="s">
        <v>402</v>
      </c>
      <c r="B76" s="38">
        <v>7</v>
      </c>
    </row>
    <row r="77" spans="1:2" x14ac:dyDescent="0.35">
      <c r="A77" s="37" t="s">
        <v>401</v>
      </c>
      <c r="B77" s="38">
        <v>6</v>
      </c>
    </row>
    <row r="78" spans="1:2" x14ac:dyDescent="0.35">
      <c r="A78" s="37" t="s">
        <v>400</v>
      </c>
      <c r="B78" s="38">
        <v>2</v>
      </c>
    </row>
    <row r="79" spans="1:2" x14ac:dyDescent="0.35">
      <c r="A79" s="37" t="s">
        <v>399</v>
      </c>
      <c r="B79" s="38">
        <v>7</v>
      </c>
    </row>
    <row r="80" spans="1:2" x14ac:dyDescent="0.35">
      <c r="A80" s="37" t="s">
        <v>398</v>
      </c>
      <c r="B80" s="38">
        <v>6</v>
      </c>
    </row>
    <row r="81" spans="1:2" x14ac:dyDescent="0.35">
      <c r="A81" s="37" t="s">
        <v>397</v>
      </c>
      <c r="B81" s="38">
        <v>7</v>
      </c>
    </row>
    <row r="82" spans="1:2" x14ac:dyDescent="0.35">
      <c r="A82" s="37" t="s">
        <v>396</v>
      </c>
      <c r="B82" s="38">
        <v>8</v>
      </c>
    </row>
    <row r="83" spans="1:2" x14ac:dyDescent="0.35">
      <c r="A83" s="37" t="s">
        <v>395</v>
      </c>
      <c r="B83" s="38">
        <v>7</v>
      </c>
    </row>
    <row r="84" spans="1:2" x14ac:dyDescent="0.35">
      <c r="A84" s="37" t="s">
        <v>394</v>
      </c>
      <c r="B84" s="38">
        <v>6</v>
      </c>
    </row>
    <row r="85" spans="1:2" x14ac:dyDescent="0.35">
      <c r="A85" s="37" t="s">
        <v>393</v>
      </c>
      <c r="B85" s="38">
        <v>4</v>
      </c>
    </row>
    <row r="86" spans="1:2" x14ac:dyDescent="0.35">
      <c r="A86" s="37" t="s">
        <v>392</v>
      </c>
      <c r="B86" s="38">
        <v>4</v>
      </c>
    </row>
    <row r="87" spans="1:2" x14ac:dyDescent="0.35">
      <c r="A87" s="37" t="s">
        <v>391</v>
      </c>
      <c r="B87" s="38">
        <v>5</v>
      </c>
    </row>
    <row r="88" spans="1:2" x14ac:dyDescent="0.35">
      <c r="A88" s="37" t="s">
        <v>390</v>
      </c>
      <c r="B88" s="38">
        <v>6</v>
      </c>
    </row>
    <row r="89" spans="1:2" x14ac:dyDescent="0.35">
      <c r="A89" s="37" t="s">
        <v>389</v>
      </c>
      <c r="B89" s="38">
        <v>3</v>
      </c>
    </row>
    <row r="90" spans="1:2" x14ac:dyDescent="0.35">
      <c r="A90" s="37" t="s">
        <v>388</v>
      </c>
      <c r="B90" s="38">
        <v>3</v>
      </c>
    </row>
    <row r="91" spans="1:2" x14ac:dyDescent="0.35">
      <c r="A91" s="37" t="s">
        <v>387</v>
      </c>
      <c r="B91" s="38">
        <v>6</v>
      </c>
    </row>
    <row r="92" spans="1:2" x14ac:dyDescent="0.35">
      <c r="A92" s="37" t="s">
        <v>386</v>
      </c>
      <c r="B92" s="38">
        <v>10</v>
      </c>
    </row>
    <row r="93" spans="1:2" x14ac:dyDescent="0.35">
      <c r="A93" s="37" t="s">
        <v>385</v>
      </c>
      <c r="B93" s="38">
        <v>4</v>
      </c>
    </row>
    <row r="94" spans="1:2" x14ac:dyDescent="0.35">
      <c r="A94" s="37" t="s">
        <v>384</v>
      </c>
      <c r="B94" s="38">
        <v>6</v>
      </c>
    </row>
    <row r="95" spans="1:2" x14ac:dyDescent="0.35">
      <c r="A95" s="37" t="s">
        <v>383</v>
      </c>
      <c r="B95" s="38">
        <v>10</v>
      </c>
    </row>
    <row r="96" spans="1:2" x14ac:dyDescent="0.35">
      <c r="A96" s="37" t="s">
        <v>382</v>
      </c>
      <c r="B96" s="38">
        <v>5</v>
      </c>
    </row>
    <row r="97" spans="1:2" x14ac:dyDescent="0.35">
      <c r="A97" s="37" t="s">
        <v>381</v>
      </c>
      <c r="B97" s="38">
        <v>2</v>
      </c>
    </row>
    <row r="98" spans="1:2" x14ac:dyDescent="0.35">
      <c r="A98" s="37" t="s">
        <v>380</v>
      </c>
      <c r="B98" s="38">
        <v>3</v>
      </c>
    </row>
    <row r="99" spans="1:2" x14ac:dyDescent="0.35">
      <c r="A99" s="37" t="s">
        <v>379</v>
      </c>
      <c r="B99" s="38">
        <v>3</v>
      </c>
    </row>
    <row r="100" spans="1:2" x14ac:dyDescent="0.35">
      <c r="A100" s="37" t="s">
        <v>378</v>
      </c>
      <c r="B100" s="38">
        <v>5</v>
      </c>
    </row>
    <row r="101" spans="1:2" x14ac:dyDescent="0.35">
      <c r="A101" s="37" t="s">
        <v>377</v>
      </c>
      <c r="B101" s="38">
        <v>3</v>
      </c>
    </row>
    <row r="102" spans="1:2" x14ac:dyDescent="0.35">
      <c r="A102" s="37" t="s">
        <v>376</v>
      </c>
      <c r="B102" s="38">
        <v>3</v>
      </c>
    </row>
    <row r="103" spans="1:2" x14ac:dyDescent="0.35">
      <c r="A103" s="37" t="s">
        <v>375</v>
      </c>
      <c r="B103" s="38">
        <v>10</v>
      </c>
    </row>
    <row r="104" spans="1:2" x14ac:dyDescent="0.35">
      <c r="A104" s="37" t="s">
        <v>1019</v>
      </c>
      <c r="B104" s="38"/>
    </row>
    <row r="105" spans="1:2" x14ac:dyDescent="0.35">
      <c r="A105" s="37" t="s">
        <v>1020</v>
      </c>
      <c r="B105" s="38">
        <v>500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933F-F8DF-4FA6-B749-E0B81B9CBB2D}">
  <dimension ref="A1:B501"/>
  <sheetViews>
    <sheetView workbookViewId="0">
      <selection sqref="A1:A1048576"/>
    </sheetView>
  </sheetViews>
  <sheetFormatPr defaultRowHeight="14.5" x14ac:dyDescent="0.35"/>
  <cols>
    <col min="1" max="1" width="11.81640625" customWidth="1"/>
    <col min="2" max="2" width="26.26953125" customWidth="1"/>
  </cols>
  <sheetData>
    <row r="1" spans="1:2" x14ac:dyDescent="0.35">
      <c r="A1" s="14" t="s">
        <v>363</v>
      </c>
      <c r="B1" s="9" t="s">
        <v>528</v>
      </c>
    </row>
    <row r="2" spans="1:2" x14ac:dyDescent="0.35">
      <c r="A2" s="15" t="s">
        <v>375</v>
      </c>
      <c r="B2" t="s">
        <v>627</v>
      </c>
    </row>
    <row r="3" spans="1:2" x14ac:dyDescent="0.35">
      <c r="A3" s="19" t="s">
        <v>375</v>
      </c>
      <c r="B3" t="s">
        <v>628</v>
      </c>
    </row>
    <row r="4" spans="1:2" x14ac:dyDescent="0.35">
      <c r="A4" s="19" t="s">
        <v>375</v>
      </c>
      <c r="B4" t="s">
        <v>629</v>
      </c>
    </row>
    <row r="5" spans="1:2" x14ac:dyDescent="0.35">
      <c r="A5" s="19" t="s">
        <v>375</v>
      </c>
      <c r="B5" t="s">
        <v>630</v>
      </c>
    </row>
    <row r="6" spans="1:2" x14ac:dyDescent="0.35">
      <c r="A6" s="15" t="s">
        <v>375</v>
      </c>
      <c r="B6" t="s">
        <v>631</v>
      </c>
    </row>
    <row r="7" spans="1:2" x14ac:dyDescent="0.35">
      <c r="A7" s="20" t="s">
        <v>375</v>
      </c>
      <c r="B7" t="s">
        <v>632</v>
      </c>
    </row>
    <row r="8" spans="1:2" x14ac:dyDescent="0.35">
      <c r="A8" s="19" t="s">
        <v>375</v>
      </c>
      <c r="B8" t="s">
        <v>633</v>
      </c>
    </row>
    <row r="9" spans="1:2" x14ac:dyDescent="0.35">
      <c r="A9" s="20" t="s">
        <v>375</v>
      </c>
      <c r="B9" t="s">
        <v>634</v>
      </c>
    </row>
    <row r="10" spans="1:2" x14ac:dyDescent="0.35">
      <c r="A10" s="19" t="s">
        <v>375</v>
      </c>
      <c r="B10" t="s">
        <v>635</v>
      </c>
    </row>
    <row r="11" spans="1:2" x14ac:dyDescent="0.35">
      <c r="A11" s="20" t="s">
        <v>375</v>
      </c>
      <c r="B11" t="s">
        <v>636</v>
      </c>
    </row>
    <row r="12" spans="1:2" x14ac:dyDescent="0.35">
      <c r="A12" s="15" t="s">
        <v>376</v>
      </c>
      <c r="B12" t="s">
        <v>637</v>
      </c>
    </row>
    <row r="13" spans="1:2" x14ac:dyDescent="0.35">
      <c r="A13" s="19" t="s">
        <v>376</v>
      </c>
      <c r="B13" t="s">
        <v>638</v>
      </c>
    </row>
    <row r="14" spans="1:2" x14ac:dyDescent="0.35">
      <c r="A14" s="19" t="s">
        <v>376</v>
      </c>
      <c r="B14" t="s">
        <v>639</v>
      </c>
    </row>
    <row r="15" spans="1:2" x14ac:dyDescent="0.35">
      <c r="A15" s="19" t="s">
        <v>377</v>
      </c>
      <c r="B15" t="s">
        <v>640</v>
      </c>
    </row>
    <row r="16" spans="1:2" x14ac:dyDescent="0.35">
      <c r="A16" s="15" t="s">
        <v>377</v>
      </c>
      <c r="B16" t="s">
        <v>641</v>
      </c>
    </row>
    <row r="17" spans="1:2" x14ac:dyDescent="0.35">
      <c r="A17" s="20" t="s">
        <v>377</v>
      </c>
      <c r="B17" t="s">
        <v>642</v>
      </c>
    </row>
    <row r="18" spans="1:2" x14ac:dyDescent="0.35">
      <c r="A18" s="15" t="s">
        <v>378</v>
      </c>
      <c r="B18" t="s">
        <v>643</v>
      </c>
    </row>
    <row r="19" spans="1:2" x14ac:dyDescent="0.35">
      <c r="A19" s="19" t="s">
        <v>378</v>
      </c>
      <c r="B19" t="s">
        <v>644</v>
      </c>
    </row>
    <row r="20" spans="1:2" x14ac:dyDescent="0.35">
      <c r="A20" s="19" t="s">
        <v>378</v>
      </c>
      <c r="B20" t="s">
        <v>645</v>
      </c>
    </row>
    <row r="21" spans="1:2" x14ac:dyDescent="0.35">
      <c r="A21" s="20" t="s">
        <v>378</v>
      </c>
      <c r="B21" t="s">
        <v>646</v>
      </c>
    </row>
    <row r="22" spans="1:2" x14ac:dyDescent="0.35">
      <c r="A22" s="19" t="s">
        <v>378</v>
      </c>
      <c r="B22" t="s">
        <v>647</v>
      </c>
    </row>
    <row r="23" spans="1:2" x14ac:dyDescent="0.35">
      <c r="A23" s="20" t="s">
        <v>379</v>
      </c>
      <c r="B23" t="s">
        <v>648</v>
      </c>
    </row>
    <row r="24" spans="1:2" x14ac:dyDescent="0.35">
      <c r="A24" s="15" t="s">
        <v>379</v>
      </c>
      <c r="B24" t="s">
        <v>649</v>
      </c>
    </row>
    <row r="25" spans="1:2" x14ac:dyDescent="0.35">
      <c r="A25" s="19" t="s">
        <v>379</v>
      </c>
      <c r="B25" t="s">
        <v>650</v>
      </c>
    </row>
    <row r="26" spans="1:2" x14ac:dyDescent="0.35">
      <c r="A26" s="19" t="s">
        <v>380</v>
      </c>
      <c r="B26" t="s">
        <v>651</v>
      </c>
    </row>
    <row r="27" spans="1:2" x14ac:dyDescent="0.35">
      <c r="A27" s="19" t="s">
        <v>380</v>
      </c>
      <c r="B27" t="s">
        <v>652</v>
      </c>
    </row>
    <row r="28" spans="1:2" x14ac:dyDescent="0.35">
      <c r="A28" s="15" t="s">
        <v>380</v>
      </c>
      <c r="B28" t="s">
        <v>653</v>
      </c>
    </row>
    <row r="29" spans="1:2" x14ac:dyDescent="0.35">
      <c r="A29" s="20" t="s">
        <v>381</v>
      </c>
      <c r="B29" t="s">
        <v>654</v>
      </c>
    </row>
    <row r="30" spans="1:2" x14ac:dyDescent="0.35">
      <c r="A30" s="19" t="s">
        <v>381</v>
      </c>
      <c r="B30" t="s">
        <v>655</v>
      </c>
    </row>
    <row r="31" spans="1:2" x14ac:dyDescent="0.35">
      <c r="A31" s="19" t="s">
        <v>382</v>
      </c>
      <c r="B31" t="s">
        <v>645</v>
      </c>
    </row>
    <row r="32" spans="1:2" x14ac:dyDescent="0.35">
      <c r="A32" s="15" t="s">
        <v>382</v>
      </c>
      <c r="B32" t="s">
        <v>648</v>
      </c>
    </row>
    <row r="33" spans="1:2" x14ac:dyDescent="0.35">
      <c r="A33" s="19" t="s">
        <v>382</v>
      </c>
      <c r="B33" t="s">
        <v>656</v>
      </c>
    </row>
    <row r="34" spans="1:2" x14ac:dyDescent="0.35">
      <c r="A34" s="15" t="s">
        <v>382</v>
      </c>
      <c r="B34" t="s">
        <v>645</v>
      </c>
    </row>
    <row r="35" spans="1:2" x14ac:dyDescent="0.35">
      <c r="A35" s="20" t="s">
        <v>382</v>
      </c>
      <c r="B35" t="s">
        <v>657</v>
      </c>
    </row>
    <row r="36" spans="1:2" x14ac:dyDescent="0.35">
      <c r="A36" s="19" t="s">
        <v>383</v>
      </c>
      <c r="B36" t="s">
        <v>658</v>
      </c>
    </row>
    <row r="37" spans="1:2" x14ac:dyDescent="0.35">
      <c r="A37" s="19" t="s">
        <v>383</v>
      </c>
      <c r="B37" t="s">
        <v>659</v>
      </c>
    </row>
    <row r="38" spans="1:2" x14ac:dyDescent="0.35">
      <c r="A38" s="15" t="s">
        <v>383</v>
      </c>
      <c r="B38" t="s">
        <v>660</v>
      </c>
    </row>
    <row r="39" spans="1:2" x14ac:dyDescent="0.35">
      <c r="A39" s="20" t="s">
        <v>383</v>
      </c>
      <c r="B39" t="s">
        <v>633</v>
      </c>
    </row>
    <row r="40" spans="1:2" x14ac:dyDescent="0.35">
      <c r="A40" s="15" t="s">
        <v>383</v>
      </c>
      <c r="B40" t="s">
        <v>661</v>
      </c>
    </row>
    <row r="41" spans="1:2" x14ac:dyDescent="0.35">
      <c r="A41" s="19" t="s">
        <v>383</v>
      </c>
      <c r="B41" t="s">
        <v>662</v>
      </c>
    </row>
    <row r="42" spans="1:2" x14ac:dyDescent="0.35">
      <c r="A42" s="15" t="s">
        <v>383</v>
      </c>
      <c r="B42" t="s">
        <v>663</v>
      </c>
    </row>
    <row r="43" spans="1:2" x14ac:dyDescent="0.35">
      <c r="A43" s="19" t="s">
        <v>383</v>
      </c>
      <c r="B43" t="s">
        <v>664</v>
      </c>
    </row>
    <row r="44" spans="1:2" x14ac:dyDescent="0.35">
      <c r="A44" s="15" t="s">
        <v>383</v>
      </c>
      <c r="B44" t="s">
        <v>665</v>
      </c>
    </row>
    <row r="45" spans="1:2" x14ac:dyDescent="0.35">
      <c r="A45" s="19" t="s">
        <v>383</v>
      </c>
      <c r="B45" t="s">
        <v>666</v>
      </c>
    </row>
    <row r="46" spans="1:2" x14ac:dyDescent="0.35">
      <c r="A46" s="15" t="s">
        <v>384</v>
      </c>
      <c r="B46" t="s">
        <v>667</v>
      </c>
    </row>
    <row r="47" spans="1:2" x14ac:dyDescent="0.35">
      <c r="A47" s="20" t="s">
        <v>384</v>
      </c>
      <c r="B47" t="s">
        <v>668</v>
      </c>
    </row>
    <row r="48" spans="1:2" x14ac:dyDescent="0.35">
      <c r="A48" s="15" t="s">
        <v>384</v>
      </c>
      <c r="B48" t="s">
        <v>669</v>
      </c>
    </row>
    <row r="49" spans="1:2" x14ac:dyDescent="0.35">
      <c r="A49" s="19" t="s">
        <v>384</v>
      </c>
      <c r="B49" t="s">
        <v>670</v>
      </c>
    </row>
    <row r="50" spans="1:2" x14ac:dyDescent="0.35">
      <c r="A50" s="19" t="s">
        <v>384</v>
      </c>
      <c r="B50" t="s">
        <v>671</v>
      </c>
    </row>
    <row r="51" spans="1:2" x14ac:dyDescent="0.35">
      <c r="A51" s="19" t="s">
        <v>384</v>
      </c>
      <c r="B51" t="s">
        <v>672</v>
      </c>
    </row>
    <row r="52" spans="1:2" x14ac:dyDescent="0.35">
      <c r="A52" s="19" t="s">
        <v>385</v>
      </c>
      <c r="B52" t="s">
        <v>673</v>
      </c>
    </row>
    <row r="53" spans="1:2" x14ac:dyDescent="0.35">
      <c r="A53" s="19" t="s">
        <v>385</v>
      </c>
      <c r="B53" t="s">
        <v>674</v>
      </c>
    </row>
    <row r="54" spans="1:2" x14ac:dyDescent="0.35">
      <c r="A54" s="15" t="s">
        <v>385</v>
      </c>
      <c r="B54" t="s">
        <v>675</v>
      </c>
    </row>
    <row r="55" spans="1:2" x14ac:dyDescent="0.35">
      <c r="A55" s="20" t="s">
        <v>385</v>
      </c>
      <c r="B55" t="s">
        <v>676</v>
      </c>
    </row>
    <row r="56" spans="1:2" x14ac:dyDescent="0.35">
      <c r="A56" s="15" t="s">
        <v>386</v>
      </c>
      <c r="B56" t="s">
        <v>677</v>
      </c>
    </row>
    <row r="57" spans="1:2" x14ac:dyDescent="0.35">
      <c r="A57" s="19" t="s">
        <v>386</v>
      </c>
      <c r="B57" t="s">
        <v>678</v>
      </c>
    </row>
    <row r="58" spans="1:2" x14ac:dyDescent="0.35">
      <c r="A58" s="15" t="s">
        <v>386</v>
      </c>
      <c r="B58" t="s">
        <v>679</v>
      </c>
    </row>
    <row r="59" spans="1:2" x14ac:dyDescent="0.35">
      <c r="A59" s="19" t="s">
        <v>386</v>
      </c>
      <c r="B59" t="s">
        <v>680</v>
      </c>
    </row>
    <row r="60" spans="1:2" x14ac:dyDescent="0.35">
      <c r="A60" s="15" t="s">
        <v>386</v>
      </c>
      <c r="B60" t="s">
        <v>681</v>
      </c>
    </row>
    <row r="61" spans="1:2" x14ac:dyDescent="0.35">
      <c r="A61" s="19" t="s">
        <v>386</v>
      </c>
      <c r="B61" t="s">
        <v>678</v>
      </c>
    </row>
    <row r="62" spans="1:2" x14ac:dyDescent="0.35">
      <c r="A62" s="15" t="s">
        <v>386</v>
      </c>
      <c r="B62" t="s">
        <v>682</v>
      </c>
    </row>
    <row r="63" spans="1:2" x14ac:dyDescent="0.35">
      <c r="A63" s="19" t="s">
        <v>386</v>
      </c>
      <c r="B63" t="s">
        <v>682</v>
      </c>
    </row>
    <row r="64" spans="1:2" x14ac:dyDescent="0.35">
      <c r="A64" s="19" t="s">
        <v>386</v>
      </c>
      <c r="B64" t="s">
        <v>649</v>
      </c>
    </row>
    <row r="65" spans="1:2" x14ac:dyDescent="0.35">
      <c r="A65" s="20" t="s">
        <v>386</v>
      </c>
      <c r="B65" t="s">
        <v>683</v>
      </c>
    </row>
    <row r="66" spans="1:2" x14ac:dyDescent="0.35">
      <c r="A66" s="15" t="s">
        <v>387</v>
      </c>
      <c r="B66" t="s">
        <v>684</v>
      </c>
    </row>
    <row r="67" spans="1:2" x14ac:dyDescent="0.35">
      <c r="A67" s="19" t="s">
        <v>387</v>
      </c>
      <c r="B67" t="s">
        <v>685</v>
      </c>
    </row>
    <row r="68" spans="1:2" x14ac:dyDescent="0.35">
      <c r="A68" s="19" t="s">
        <v>387</v>
      </c>
      <c r="B68" t="s">
        <v>685</v>
      </c>
    </row>
    <row r="69" spans="1:2" x14ac:dyDescent="0.35">
      <c r="A69" s="19" t="s">
        <v>387</v>
      </c>
      <c r="B69" t="s">
        <v>686</v>
      </c>
    </row>
    <row r="70" spans="1:2" x14ac:dyDescent="0.35">
      <c r="A70" s="15" t="s">
        <v>387</v>
      </c>
      <c r="B70" t="s">
        <v>645</v>
      </c>
    </row>
    <row r="71" spans="1:2" x14ac:dyDescent="0.35">
      <c r="A71" s="20" t="s">
        <v>387</v>
      </c>
      <c r="B71" t="s">
        <v>687</v>
      </c>
    </row>
    <row r="72" spans="1:2" x14ac:dyDescent="0.35">
      <c r="A72" s="19" t="s">
        <v>388</v>
      </c>
      <c r="B72" t="s">
        <v>688</v>
      </c>
    </row>
    <row r="73" spans="1:2" x14ac:dyDescent="0.35">
      <c r="A73" s="19" t="s">
        <v>388</v>
      </c>
      <c r="B73" t="s">
        <v>689</v>
      </c>
    </row>
    <row r="74" spans="1:2" x14ac:dyDescent="0.35">
      <c r="A74" s="15" t="s">
        <v>388</v>
      </c>
      <c r="B74" t="s">
        <v>683</v>
      </c>
    </row>
    <row r="75" spans="1:2" x14ac:dyDescent="0.35">
      <c r="A75" s="20" t="s">
        <v>389</v>
      </c>
      <c r="B75" t="s">
        <v>690</v>
      </c>
    </row>
    <row r="76" spans="1:2" x14ac:dyDescent="0.35">
      <c r="A76" s="19" t="s">
        <v>389</v>
      </c>
      <c r="B76" t="s">
        <v>691</v>
      </c>
    </row>
    <row r="77" spans="1:2" x14ac:dyDescent="0.35">
      <c r="A77" s="20" t="s">
        <v>389</v>
      </c>
      <c r="B77" t="s">
        <v>692</v>
      </c>
    </row>
    <row r="78" spans="1:2" x14ac:dyDescent="0.35">
      <c r="A78" s="15" t="s">
        <v>390</v>
      </c>
      <c r="B78" t="s">
        <v>693</v>
      </c>
    </row>
    <row r="79" spans="1:2" x14ac:dyDescent="0.35">
      <c r="A79" s="19" t="s">
        <v>390</v>
      </c>
      <c r="B79" t="s">
        <v>694</v>
      </c>
    </row>
    <row r="80" spans="1:2" x14ac:dyDescent="0.35">
      <c r="A80" s="19" t="s">
        <v>390</v>
      </c>
      <c r="B80" t="s">
        <v>695</v>
      </c>
    </row>
    <row r="81" spans="1:2" x14ac:dyDescent="0.35">
      <c r="A81" s="19" t="s">
        <v>390</v>
      </c>
      <c r="B81" t="s">
        <v>696</v>
      </c>
    </row>
    <row r="82" spans="1:2" x14ac:dyDescent="0.35">
      <c r="A82" s="15" t="s">
        <v>390</v>
      </c>
      <c r="B82" t="s">
        <v>697</v>
      </c>
    </row>
    <row r="83" spans="1:2" x14ac:dyDescent="0.35">
      <c r="A83" s="20" t="s">
        <v>390</v>
      </c>
      <c r="B83" t="s">
        <v>685</v>
      </c>
    </row>
    <row r="84" spans="1:2" x14ac:dyDescent="0.35">
      <c r="A84" s="15" t="s">
        <v>391</v>
      </c>
      <c r="B84" t="s">
        <v>633</v>
      </c>
    </row>
    <row r="85" spans="1:2" x14ac:dyDescent="0.35">
      <c r="A85" s="19" t="s">
        <v>391</v>
      </c>
      <c r="B85" t="s">
        <v>698</v>
      </c>
    </row>
    <row r="86" spans="1:2" x14ac:dyDescent="0.35">
      <c r="A86" s="19" t="s">
        <v>391</v>
      </c>
      <c r="B86" t="s">
        <v>699</v>
      </c>
    </row>
    <row r="87" spans="1:2" x14ac:dyDescent="0.35">
      <c r="A87" s="20" t="s">
        <v>391</v>
      </c>
      <c r="B87" t="s">
        <v>666</v>
      </c>
    </row>
    <row r="88" spans="1:2" x14ac:dyDescent="0.35">
      <c r="A88" s="19" t="s">
        <v>391</v>
      </c>
      <c r="B88" t="s">
        <v>700</v>
      </c>
    </row>
    <row r="89" spans="1:2" x14ac:dyDescent="0.35">
      <c r="A89" s="20" t="s">
        <v>392</v>
      </c>
      <c r="B89" t="s">
        <v>701</v>
      </c>
    </row>
    <row r="90" spans="1:2" x14ac:dyDescent="0.35">
      <c r="A90" s="15" t="s">
        <v>392</v>
      </c>
      <c r="B90" t="s">
        <v>702</v>
      </c>
    </row>
    <row r="91" spans="1:2" x14ac:dyDescent="0.35">
      <c r="A91" s="19" t="s">
        <v>392</v>
      </c>
      <c r="B91" t="s">
        <v>703</v>
      </c>
    </row>
    <row r="92" spans="1:2" x14ac:dyDescent="0.35">
      <c r="A92" s="19" t="s">
        <v>392</v>
      </c>
      <c r="B92" t="s">
        <v>704</v>
      </c>
    </row>
    <row r="93" spans="1:2" x14ac:dyDescent="0.35">
      <c r="A93" s="19" t="s">
        <v>393</v>
      </c>
      <c r="B93" t="s">
        <v>705</v>
      </c>
    </row>
    <row r="94" spans="1:2" x14ac:dyDescent="0.35">
      <c r="A94" s="19" t="s">
        <v>393</v>
      </c>
      <c r="B94" t="s">
        <v>706</v>
      </c>
    </row>
    <row r="95" spans="1:2" x14ac:dyDescent="0.35">
      <c r="A95" s="20" t="s">
        <v>393</v>
      </c>
      <c r="B95" t="s">
        <v>707</v>
      </c>
    </row>
    <row r="96" spans="1:2" x14ac:dyDescent="0.35">
      <c r="A96" s="15" t="s">
        <v>393</v>
      </c>
      <c r="B96" t="s">
        <v>708</v>
      </c>
    </row>
    <row r="97" spans="1:2" x14ac:dyDescent="0.35">
      <c r="A97" s="20" t="s">
        <v>394</v>
      </c>
      <c r="B97" t="s">
        <v>709</v>
      </c>
    </row>
    <row r="98" spans="1:2" x14ac:dyDescent="0.35">
      <c r="A98" s="19" t="s">
        <v>394</v>
      </c>
      <c r="B98" t="s">
        <v>658</v>
      </c>
    </row>
    <row r="99" spans="1:2" x14ac:dyDescent="0.35">
      <c r="A99" s="19" t="s">
        <v>394</v>
      </c>
      <c r="B99" t="s">
        <v>710</v>
      </c>
    </row>
    <row r="100" spans="1:2" x14ac:dyDescent="0.35">
      <c r="A100" s="15" t="s">
        <v>394</v>
      </c>
      <c r="B100" t="s">
        <v>685</v>
      </c>
    </row>
    <row r="101" spans="1:2" x14ac:dyDescent="0.35">
      <c r="A101" s="20" t="s">
        <v>394</v>
      </c>
      <c r="B101" t="s">
        <v>671</v>
      </c>
    </row>
    <row r="102" spans="1:2" x14ac:dyDescent="0.35">
      <c r="A102" s="19" t="s">
        <v>394</v>
      </c>
      <c r="B102" t="s">
        <v>711</v>
      </c>
    </row>
    <row r="103" spans="1:2" x14ac:dyDescent="0.35">
      <c r="A103" s="20" t="s">
        <v>395</v>
      </c>
      <c r="B103" t="s">
        <v>712</v>
      </c>
    </row>
    <row r="104" spans="1:2" x14ac:dyDescent="0.35">
      <c r="A104" s="15" t="s">
        <v>395</v>
      </c>
      <c r="B104" t="s">
        <v>713</v>
      </c>
    </row>
    <row r="105" spans="1:2" x14ac:dyDescent="0.35">
      <c r="A105" s="20" t="s">
        <v>395</v>
      </c>
      <c r="B105" t="s">
        <v>714</v>
      </c>
    </row>
    <row r="106" spans="1:2" x14ac:dyDescent="0.35">
      <c r="A106" s="19" t="s">
        <v>395</v>
      </c>
      <c r="B106" t="s">
        <v>715</v>
      </c>
    </row>
    <row r="107" spans="1:2" x14ac:dyDescent="0.35">
      <c r="A107" s="20" t="s">
        <v>395</v>
      </c>
      <c r="B107" t="s">
        <v>716</v>
      </c>
    </row>
    <row r="108" spans="1:2" x14ac:dyDescent="0.35">
      <c r="A108" s="19" t="s">
        <v>395</v>
      </c>
      <c r="B108" t="s">
        <v>673</v>
      </c>
    </row>
    <row r="109" spans="1:2" x14ac:dyDescent="0.35">
      <c r="A109" s="19" t="s">
        <v>395</v>
      </c>
      <c r="B109" t="s">
        <v>717</v>
      </c>
    </row>
    <row r="110" spans="1:2" x14ac:dyDescent="0.35">
      <c r="A110" s="15" t="s">
        <v>396</v>
      </c>
      <c r="B110" t="s">
        <v>718</v>
      </c>
    </row>
    <row r="111" spans="1:2" x14ac:dyDescent="0.35">
      <c r="A111" s="19" t="s">
        <v>396</v>
      </c>
      <c r="B111" t="s">
        <v>719</v>
      </c>
    </row>
    <row r="112" spans="1:2" x14ac:dyDescent="0.35">
      <c r="A112" s="19" t="s">
        <v>396</v>
      </c>
      <c r="B112" t="s">
        <v>720</v>
      </c>
    </row>
    <row r="113" spans="1:2" x14ac:dyDescent="0.35">
      <c r="A113" s="19" t="s">
        <v>396</v>
      </c>
      <c r="B113" t="s">
        <v>721</v>
      </c>
    </row>
    <row r="114" spans="1:2" x14ac:dyDescent="0.35">
      <c r="A114" s="15" t="s">
        <v>396</v>
      </c>
      <c r="B114" t="s">
        <v>720</v>
      </c>
    </row>
    <row r="115" spans="1:2" x14ac:dyDescent="0.35">
      <c r="A115" s="20" t="s">
        <v>396</v>
      </c>
      <c r="B115" t="s">
        <v>722</v>
      </c>
    </row>
    <row r="116" spans="1:2" x14ac:dyDescent="0.35">
      <c r="A116" s="15" t="s">
        <v>396</v>
      </c>
      <c r="B116" t="s">
        <v>723</v>
      </c>
    </row>
    <row r="117" spans="1:2" x14ac:dyDescent="0.35">
      <c r="A117" s="19" t="s">
        <v>396</v>
      </c>
      <c r="B117" t="s">
        <v>724</v>
      </c>
    </row>
    <row r="118" spans="1:2" x14ac:dyDescent="0.35">
      <c r="A118" s="15" t="s">
        <v>397</v>
      </c>
      <c r="B118" t="s">
        <v>725</v>
      </c>
    </row>
    <row r="119" spans="1:2" x14ac:dyDescent="0.35">
      <c r="A119" s="20" t="s">
        <v>397</v>
      </c>
      <c r="B119" t="s">
        <v>726</v>
      </c>
    </row>
    <row r="120" spans="1:2" x14ac:dyDescent="0.35">
      <c r="A120" s="15" t="s">
        <v>397</v>
      </c>
      <c r="B120" t="s">
        <v>727</v>
      </c>
    </row>
    <row r="121" spans="1:2" x14ac:dyDescent="0.35">
      <c r="A121" s="19" t="s">
        <v>397</v>
      </c>
      <c r="B121" t="s">
        <v>728</v>
      </c>
    </row>
    <row r="122" spans="1:2" x14ac:dyDescent="0.35">
      <c r="A122" s="19" t="s">
        <v>397</v>
      </c>
      <c r="B122" t="s">
        <v>729</v>
      </c>
    </row>
    <row r="123" spans="1:2" x14ac:dyDescent="0.35">
      <c r="A123" s="19" t="s">
        <v>397</v>
      </c>
      <c r="B123" t="s">
        <v>730</v>
      </c>
    </row>
    <row r="124" spans="1:2" x14ac:dyDescent="0.35">
      <c r="A124" s="19" t="s">
        <v>397</v>
      </c>
      <c r="B124" t="s">
        <v>731</v>
      </c>
    </row>
    <row r="125" spans="1:2" x14ac:dyDescent="0.35">
      <c r="A125" s="20" t="s">
        <v>398</v>
      </c>
      <c r="B125" t="s">
        <v>732</v>
      </c>
    </row>
    <row r="126" spans="1:2" x14ac:dyDescent="0.35">
      <c r="A126" s="19" t="s">
        <v>398</v>
      </c>
      <c r="B126" t="s">
        <v>733</v>
      </c>
    </row>
    <row r="127" spans="1:2" x14ac:dyDescent="0.35">
      <c r="A127" s="19" t="s">
        <v>398</v>
      </c>
      <c r="B127" t="s">
        <v>734</v>
      </c>
    </row>
    <row r="128" spans="1:2" x14ac:dyDescent="0.35">
      <c r="A128" s="15" t="s">
        <v>398</v>
      </c>
      <c r="B128" t="s">
        <v>735</v>
      </c>
    </row>
    <row r="129" spans="1:2" x14ac:dyDescent="0.35">
      <c r="A129" s="19" t="s">
        <v>398</v>
      </c>
      <c r="B129" t="s">
        <v>736</v>
      </c>
    </row>
    <row r="130" spans="1:2" x14ac:dyDescent="0.35">
      <c r="A130" s="15" t="s">
        <v>398</v>
      </c>
      <c r="B130" t="s">
        <v>737</v>
      </c>
    </row>
    <row r="131" spans="1:2" x14ac:dyDescent="0.35">
      <c r="A131" s="20" t="s">
        <v>399</v>
      </c>
      <c r="B131" t="s">
        <v>665</v>
      </c>
    </row>
    <row r="132" spans="1:2" x14ac:dyDescent="0.35">
      <c r="A132" s="15" t="s">
        <v>399</v>
      </c>
      <c r="B132" t="s">
        <v>738</v>
      </c>
    </row>
    <row r="133" spans="1:2" x14ac:dyDescent="0.35">
      <c r="A133" s="20" t="s">
        <v>399</v>
      </c>
      <c r="B133" t="s">
        <v>739</v>
      </c>
    </row>
    <row r="134" spans="1:2" x14ac:dyDescent="0.35">
      <c r="A134" s="19" t="s">
        <v>399</v>
      </c>
      <c r="B134" t="s">
        <v>627</v>
      </c>
    </row>
    <row r="135" spans="1:2" x14ac:dyDescent="0.35">
      <c r="A135" s="19" t="s">
        <v>399</v>
      </c>
      <c r="B135" t="s">
        <v>740</v>
      </c>
    </row>
    <row r="136" spans="1:2" x14ac:dyDescent="0.35">
      <c r="A136" s="19" t="s">
        <v>399</v>
      </c>
      <c r="B136" t="s">
        <v>741</v>
      </c>
    </row>
    <row r="137" spans="1:2" x14ac:dyDescent="0.35">
      <c r="A137" s="20" t="s">
        <v>399</v>
      </c>
      <c r="B137" t="s">
        <v>742</v>
      </c>
    </row>
    <row r="138" spans="1:2" x14ac:dyDescent="0.35">
      <c r="A138" s="19" t="s">
        <v>400</v>
      </c>
      <c r="B138" t="s">
        <v>743</v>
      </c>
    </row>
    <row r="139" spans="1:2" x14ac:dyDescent="0.35">
      <c r="A139" s="20" t="s">
        <v>400</v>
      </c>
      <c r="B139" t="s">
        <v>685</v>
      </c>
    </row>
    <row r="140" spans="1:2" x14ac:dyDescent="0.35">
      <c r="A140" s="19" t="s">
        <v>401</v>
      </c>
      <c r="B140" t="s">
        <v>744</v>
      </c>
    </row>
    <row r="141" spans="1:2" x14ac:dyDescent="0.35">
      <c r="A141" s="20" t="s">
        <v>401</v>
      </c>
      <c r="B141" t="s">
        <v>668</v>
      </c>
    </row>
    <row r="142" spans="1:2" x14ac:dyDescent="0.35">
      <c r="A142" s="15" t="s">
        <v>401</v>
      </c>
      <c r="B142" t="s">
        <v>745</v>
      </c>
    </row>
    <row r="143" spans="1:2" x14ac:dyDescent="0.35">
      <c r="A143" s="20" t="s">
        <v>401</v>
      </c>
      <c r="B143" t="s">
        <v>746</v>
      </c>
    </row>
    <row r="144" spans="1:2" x14ac:dyDescent="0.35">
      <c r="A144" s="19" t="s">
        <v>401</v>
      </c>
      <c r="B144" t="s">
        <v>722</v>
      </c>
    </row>
    <row r="145" spans="1:2" x14ac:dyDescent="0.35">
      <c r="A145" s="19" t="s">
        <v>401</v>
      </c>
      <c r="B145" t="s">
        <v>747</v>
      </c>
    </row>
    <row r="146" spans="1:2" x14ac:dyDescent="0.35">
      <c r="A146" s="19" t="s">
        <v>402</v>
      </c>
      <c r="B146" t="s">
        <v>748</v>
      </c>
    </row>
    <row r="147" spans="1:2" x14ac:dyDescent="0.35">
      <c r="A147" s="20" t="s">
        <v>402</v>
      </c>
      <c r="B147" t="s">
        <v>749</v>
      </c>
    </row>
    <row r="148" spans="1:2" x14ac:dyDescent="0.35">
      <c r="A148" s="19" t="s">
        <v>402</v>
      </c>
      <c r="B148" t="s">
        <v>750</v>
      </c>
    </row>
    <row r="149" spans="1:2" x14ac:dyDescent="0.35">
      <c r="A149" s="20" t="s">
        <v>402</v>
      </c>
      <c r="B149" t="s">
        <v>751</v>
      </c>
    </row>
    <row r="150" spans="1:2" x14ac:dyDescent="0.35">
      <c r="A150" s="15" t="s">
        <v>402</v>
      </c>
      <c r="B150" t="s">
        <v>667</v>
      </c>
    </row>
    <row r="151" spans="1:2" x14ac:dyDescent="0.35">
      <c r="A151" s="19" t="s">
        <v>402</v>
      </c>
      <c r="B151" t="s">
        <v>722</v>
      </c>
    </row>
    <row r="152" spans="1:2" x14ac:dyDescent="0.35">
      <c r="A152" s="19" t="s">
        <v>402</v>
      </c>
      <c r="B152" t="s">
        <v>633</v>
      </c>
    </row>
    <row r="153" spans="1:2" x14ac:dyDescent="0.35">
      <c r="A153" s="20" t="s">
        <v>403</v>
      </c>
      <c r="B153" t="s">
        <v>752</v>
      </c>
    </row>
    <row r="154" spans="1:2" x14ac:dyDescent="0.35">
      <c r="A154" s="19" t="s">
        <v>403</v>
      </c>
      <c r="B154" t="s">
        <v>753</v>
      </c>
    </row>
    <row r="155" spans="1:2" x14ac:dyDescent="0.35">
      <c r="A155" s="20" t="s">
        <v>403</v>
      </c>
      <c r="B155" t="s">
        <v>754</v>
      </c>
    </row>
    <row r="156" spans="1:2" x14ac:dyDescent="0.35">
      <c r="A156" s="19" t="s">
        <v>404</v>
      </c>
      <c r="B156" t="s">
        <v>755</v>
      </c>
    </row>
    <row r="157" spans="1:2" x14ac:dyDescent="0.35">
      <c r="A157" s="19" t="s">
        <v>404</v>
      </c>
      <c r="B157" t="s">
        <v>648</v>
      </c>
    </row>
    <row r="158" spans="1:2" x14ac:dyDescent="0.35">
      <c r="A158" s="19" t="s">
        <v>404</v>
      </c>
      <c r="B158" t="s">
        <v>756</v>
      </c>
    </row>
    <row r="159" spans="1:2" x14ac:dyDescent="0.35">
      <c r="A159" s="20" t="s">
        <v>404</v>
      </c>
      <c r="B159" t="s">
        <v>757</v>
      </c>
    </row>
    <row r="160" spans="1:2" x14ac:dyDescent="0.35">
      <c r="A160" s="15" t="s">
        <v>404</v>
      </c>
      <c r="B160" t="s">
        <v>758</v>
      </c>
    </row>
    <row r="161" spans="1:2" x14ac:dyDescent="0.35">
      <c r="A161" s="20" t="s">
        <v>405</v>
      </c>
      <c r="B161" t="s">
        <v>633</v>
      </c>
    </row>
    <row r="162" spans="1:2" x14ac:dyDescent="0.35">
      <c r="A162" s="15" t="s">
        <v>405</v>
      </c>
      <c r="B162" t="s">
        <v>759</v>
      </c>
    </row>
    <row r="163" spans="1:2" x14ac:dyDescent="0.35">
      <c r="A163" s="19" t="s">
        <v>405</v>
      </c>
      <c r="B163" t="s">
        <v>726</v>
      </c>
    </row>
    <row r="164" spans="1:2" x14ac:dyDescent="0.35">
      <c r="A164" s="15" t="s">
        <v>405</v>
      </c>
      <c r="B164" t="s">
        <v>760</v>
      </c>
    </row>
    <row r="165" spans="1:2" x14ac:dyDescent="0.35">
      <c r="A165" s="19" t="s">
        <v>405</v>
      </c>
      <c r="B165" t="s">
        <v>761</v>
      </c>
    </row>
    <row r="166" spans="1:2" x14ac:dyDescent="0.35">
      <c r="A166" s="19" t="s">
        <v>406</v>
      </c>
      <c r="B166" t="s">
        <v>762</v>
      </c>
    </row>
    <row r="167" spans="1:2" x14ac:dyDescent="0.35">
      <c r="A167" s="19" t="s">
        <v>406</v>
      </c>
      <c r="B167" t="s">
        <v>763</v>
      </c>
    </row>
    <row r="168" spans="1:2" x14ac:dyDescent="0.35">
      <c r="A168" s="15" t="s">
        <v>406</v>
      </c>
      <c r="B168" t="s">
        <v>764</v>
      </c>
    </row>
    <row r="169" spans="1:2" x14ac:dyDescent="0.35">
      <c r="A169" s="20" t="s">
        <v>406</v>
      </c>
      <c r="B169" t="s">
        <v>765</v>
      </c>
    </row>
    <row r="170" spans="1:2" x14ac:dyDescent="0.35">
      <c r="A170" s="19" t="s">
        <v>406</v>
      </c>
      <c r="B170" t="s">
        <v>766</v>
      </c>
    </row>
    <row r="171" spans="1:2" x14ac:dyDescent="0.35">
      <c r="A171" s="20" t="s">
        <v>407</v>
      </c>
      <c r="B171" t="s">
        <v>767</v>
      </c>
    </row>
    <row r="172" spans="1:2" x14ac:dyDescent="0.35">
      <c r="A172" s="15" t="s">
        <v>407</v>
      </c>
      <c r="B172" t="s">
        <v>768</v>
      </c>
    </row>
    <row r="173" spans="1:2" x14ac:dyDescent="0.35">
      <c r="A173" s="19" t="s">
        <v>407</v>
      </c>
      <c r="B173" t="s">
        <v>769</v>
      </c>
    </row>
    <row r="174" spans="1:2" x14ac:dyDescent="0.35">
      <c r="A174" s="19" t="s">
        <v>407</v>
      </c>
      <c r="B174" t="s">
        <v>770</v>
      </c>
    </row>
    <row r="175" spans="1:2" x14ac:dyDescent="0.35">
      <c r="A175" s="19" t="s">
        <v>407</v>
      </c>
      <c r="B175" t="s">
        <v>771</v>
      </c>
    </row>
    <row r="176" spans="1:2" x14ac:dyDescent="0.35">
      <c r="A176" s="19" t="s">
        <v>407</v>
      </c>
      <c r="B176" t="s">
        <v>772</v>
      </c>
    </row>
    <row r="177" spans="1:2" x14ac:dyDescent="0.35">
      <c r="A177" s="20" t="s">
        <v>407</v>
      </c>
      <c r="B177" t="s">
        <v>773</v>
      </c>
    </row>
    <row r="178" spans="1:2" x14ac:dyDescent="0.35">
      <c r="A178" s="15" t="s">
        <v>407</v>
      </c>
      <c r="B178" t="s">
        <v>774</v>
      </c>
    </row>
    <row r="179" spans="1:2" x14ac:dyDescent="0.35">
      <c r="A179" s="20" t="s">
        <v>407</v>
      </c>
      <c r="B179" t="s">
        <v>775</v>
      </c>
    </row>
    <row r="180" spans="1:2" x14ac:dyDescent="0.35">
      <c r="A180" s="15" t="s">
        <v>408</v>
      </c>
      <c r="B180" t="s">
        <v>776</v>
      </c>
    </row>
    <row r="181" spans="1:2" x14ac:dyDescent="0.35">
      <c r="A181" s="19" t="s">
        <v>408</v>
      </c>
      <c r="B181" t="s">
        <v>749</v>
      </c>
    </row>
    <row r="182" spans="1:2" x14ac:dyDescent="0.35">
      <c r="A182" s="19" t="s">
        <v>408</v>
      </c>
      <c r="B182" t="s">
        <v>682</v>
      </c>
    </row>
    <row r="183" spans="1:2" x14ac:dyDescent="0.35">
      <c r="A183" s="20" t="s">
        <v>408</v>
      </c>
      <c r="B183" t="s">
        <v>777</v>
      </c>
    </row>
    <row r="184" spans="1:2" x14ac:dyDescent="0.35">
      <c r="A184" s="19" t="s">
        <v>408</v>
      </c>
      <c r="B184" t="s">
        <v>778</v>
      </c>
    </row>
    <row r="185" spans="1:2" x14ac:dyDescent="0.35">
      <c r="A185" s="20" t="s">
        <v>408</v>
      </c>
      <c r="B185" t="s">
        <v>779</v>
      </c>
    </row>
    <row r="186" spans="1:2" x14ac:dyDescent="0.35">
      <c r="A186" s="19" t="s">
        <v>409</v>
      </c>
      <c r="B186" t="s">
        <v>780</v>
      </c>
    </row>
    <row r="187" spans="1:2" x14ac:dyDescent="0.35">
      <c r="A187" s="20" t="s">
        <v>409</v>
      </c>
      <c r="B187" t="s">
        <v>761</v>
      </c>
    </row>
    <row r="188" spans="1:2" x14ac:dyDescent="0.35">
      <c r="A188" s="19" t="s">
        <v>409</v>
      </c>
      <c r="B188" t="s">
        <v>678</v>
      </c>
    </row>
    <row r="189" spans="1:2" x14ac:dyDescent="0.35">
      <c r="A189" s="20" t="s">
        <v>409</v>
      </c>
      <c r="B189" t="s">
        <v>781</v>
      </c>
    </row>
    <row r="190" spans="1:2" x14ac:dyDescent="0.35">
      <c r="A190" s="15" t="s">
        <v>410</v>
      </c>
      <c r="B190" t="s">
        <v>682</v>
      </c>
    </row>
    <row r="191" spans="1:2" x14ac:dyDescent="0.35">
      <c r="A191" s="20" t="s">
        <v>410</v>
      </c>
      <c r="B191" t="s">
        <v>682</v>
      </c>
    </row>
    <row r="192" spans="1:2" x14ac:dyDescent="0.35">
      <c r="A192" s="19" t="s">
        <v>410</v>
      </c>
      <c r="B192" t="s">
        <v>645</v>
      </c>
    </row>
    <row r="193" spans="1:2" x14ac:dyDescent="0.35">
      <c r="A193" s="19" t="s">
        <v>410</v>
      </c>
      <c r="B193" t="s">
        <v>782</v>
      </c>
    </row>
    <row r="194" spans="1:2" x14ac:dyDescent="0.35">
      <c r="A194" s="19" t="s">
        <v>410</v>
      </c>
      <c r="B194" t="s">
        <v>722</v>
      </c>
    </row>
    <row r="195" spans="1:2" x14ac:dyDescent="0.35">
      <c r="A195" s="20" t="s">
        <v>410</v>
      </c>
      <c r="B195" t="s">
        <v>783</v>
      </c>
    </row>
    <row r="196" spans="1:2" x14ac:dyDescent="0.35">
      <c r="A196" s="19" t="s">
        <v>411</v>
      </c>
      <c r="B196" t="s">
        <v>784</v>
      </c>
    </row>
    <row r="197" spans="1:2" x14ac:dyDescent="0.35">
      <c r="A197" s="20" t="s">
        <v>411</v>
      </c>
      <c r="B197" t="s">
        <v>785</v>
      </c>
    </row>
    <row r="198" spans="1:2" x14ac:dyDescent="0.35">
      <c r="A198" s="19" t="s">
        <v>411</v>
      </c>
      <c r="B198" t="s">
        <v>720</v>
      </c>
    </row>
    <row r="199" spans="1:2" x14ac:dyDescent="0.35">
      <c r="A199" s="20" t="s">
        <v>411</v>
      </c>
      <c r="B199" t="s">
        <v>786</v>
      </c>
    </row>
    <row r="200" spans="1:2" x14ac:dyDescent="0.35">
      <c r="A200" s="15" t="s">
        <v>412</v>
      </c>
      <c r="B200" t="s">
        <v>787</v>
      </c>
    </row>
    <row r="201" spans="1:2" x14ac:dyDescent="0.35">
      <c r="A201" s="19" t="s">
        <v>412</v>
      </c>
      <c r="B201" t="s">
        <v>788</v>
      </c>
    </row>
    <row r="202" spans="1:2" x14ac:dyDescent="0.35">
      <c r="A202" s="15" t="s">
        <v>413</v>
      </c>
      <c r="B202" t="s">
        <v>789</v>
      </c>
    </row>
    <row r="203" spans="1:2" x14ac:dyDescent="0.35">
      <c r="A203" s="19" t="s">
        <v>413</v>
      </c>
      <c r="B203" t="s">
        <v>787</v>
      </c>
    </row>
    <row r="204" spans="1:2" x14ac:dyDescent="0.35">
      <c r="A204" s="19" t="s">
        <v>414</v>
      </c>
      <c r="B204" t="s">
        <v>673</v>
      </c>
    </row>
    <row r="205" spans="1:2" x14ac:dyDescent="0.35">
      <c r="A205" s="20" t="s">
        <v>414</v>
      </c>
      <c r="B205" t="s">
        <v>790</v>
      </c>
    </row>
    <row r="206" spans="1:2" x14ac:dyDescent="0.35">
      <c r="A206" s="19" t="s">
        <v>414</v>
      </c>
      <c r="B206" t="s">
        <v>791</v>
      </c>
    </row>
    <row r="207" spans="1:2" x14ac:dyDescent="0.35">
      <c r="A207" s="20" t="s">
        <v>414</v>
      </c>
      <c r="B207" t="s">
        <v>792</v>
      </c>
    </row>
    <row r="208" spans="1:2" x14ac:dyDescent="0.35">
      <c r="A208" s="15" t="s">
        <v>415</v>
      </c>
      <c r="B208" t="s">
        <v>793</v>
      </c>
    </row>
    <row r="209" spans="1:2" x14ac:dyDescent="0.35">
      <c r="A209" s="19" t="s">
        <v>415</v>
      </c>
      <c r="B209" t="s">
        <v>627</v>
      </c>
    </row>
    <row r="210" spans="1:2" x14ac:dyDescent="0.35">
      <c r="A210" s="19" t="s">
        <v>415</v>
      </c>
      <c r="B210" t="s">
        <v>794</v>
      </c>
    </row>
    <row r="211" spans="1:2" x14ac:dyDescent="0.35">
      <c r="A211" s="19" t="s">
        <v>415</v>
      </c>
      <c r="B211" t="s">
        <v>795</v>
      </c>
    </row>
    <row r="212" spans="1:2" x14ac:dyDescent="0.35">
      <c r="A212" s="15" t="s">
        <v>415</v>
      </c>
      <c r="B212" t="s">
        <v>796</v>
      </c>
    </row>
    <row r="213" spans="1:2" x14ac:dyDescent="0.35">
      <c r="A213" s="20" t="s">
        <v>416</v>
      </c>
      <c r="B213" t="s">
        <v>797</v>
      </c>
    </row>
    <row r="214" spans="1:2" x14ac:dyDescent="0.35">
      <c r="A214" s="15" t="s">
        <v>416</v>
      </c>
      <c r="B214" t="s">
        <v>714</v>
      </c>
    </row>
    <row r="215" spans="1:2" x14ac:dyDescent="0.35">
      <c r="A215" s="19" t="s">
        <v>416</v>
      </c>
      <c r="B215" t="s">
        <v>798</v>
      </c>
    </row>
    <row r="216" spans="1:2" x14ac:dyDescent="0.35">
      <c r="A216" s="15" t="s">
        <v>416</v>
      </c>
      <c r="B216" t="s">
        <v>799</v>
      </c>
    </row>
    <row r="217" spans="1:2" x14ac:dyDescent="0.35">
      <c r="A217" s="19" t="s">
        <v>416</v>
      </c>
      <c r="B217" t="s">
        <v>633</v>
      </c>
    </row>
    <row r="218" spans="1:2" x14ac:dyDescent="0.35">
      <c r="A218" s="19" t="s">
        <v>416</v>
      </c>
      <c r="B218" t="s">
        <v>800</v>
      </c>
    </row>
    <row r="219" spans="1:2" x14ac:dyDescent="0.35">
      <c r="A219" s="20" t="s">
        <v>417</v>
      </c>
      <c r="B219" t="s">
        <v>722</v>
      </c>
    </row>
    <row r="220" spans="1:2" x14ac:dyDescent="0.35">
      <c r="A220" s="15" t="s">
        <v>417</v>
      </c>
      <c r="B220" t="s">
        <v>783</v>
      </c>
    </row>
    <row r="221" spans="1:2" x14ac:dyDescent="0.35">
      <c r="A221" s="19" t="s">
        <v>417</v>
      </c>
      <c r="B221" t="s">
        <v>720</v>
      </c>
    </row>
    <row r="222" spans="1:2" x14ac:dyDescent="0.35">
      <c r="A222" s="19" t="s">
        <v>417</v>
      </c>
      <c r="B222" t="s">
        <v>801</v>
      </c>
    </row>
    <row r="223" spans="1:2" x14ac:dyDescent="0.35">
      <c r="A223" s="20" t="s">
        <v>417</v>
      </c>
      <c r="B223" t="s">
        <v>643</v>
      </c>
    </row>
    <row r="224" spans="1:2" x14ac:dyDescent="0.35">
      <c r="A224" s="19" t="s">
        <v>417</v>
      </c>
      <c r="B224" t="s">
        <v>802</v>
      </c>
    </row>
    <row r="225" spans="1:2" x14ac:dyDescent="0.35">
      <c r="A225" s="20" t="s">
        <v>418</v>
      </c>
      <c r="B225" t="s">
        <v>765</v>
      </c>
    </row>
    <row r="226" spans="1:2" x14ac:dyDescent="0.35">
      <c r="A226" s="15" t="s">
        <v>418</v>
      </c>
      <c r="B226" t="s">
        <v>803</v>
      </c>
    </row>
    <row r="227" spans="1:2" x14ac:dyDescent="0.35">
      <c r="A227" s="19" t="s">
        <v>418</v>
      </c>
      <c r="B227" t="s">
        <v>682</v>
      </c>
    </row>
    <row r="228" spans="1:2" x14ac:dyDescent="0.35">
      <c r="A228" s="19" t="s">
        <v>418</v>
      </c>
      <c r="B228" t="s">
        <v>645</v>
      </c>
    </row>
    <row r="229" spans="1:2" x14ac:dyDescent="0.35">
      <c r="A229" s="20" t="s">
        <v>419</v>
      </c>
      <c r="B229" t="s">
        <v>804</v>
      </c>
    </row>
    <row r="230" spans="1:2" x14ac:dyDescent="0.35">
      <c r="A230" s="19" t="s">
        <v>419</v>
      </c>
      <c r="B230" t="s">
        <v>805</v>
      </c>
    </row>
    <row r="231" spans="1:2" x14ac:dyDescent="0.35">
      <c r="A231" s="20" t="s">
        <v>419</v>
      </c>
      <c r="B231" t="s">
        <v>806</v>
      </c>
    </row>
    <row r="232" spans="1:2" x14ac:dyDescent="0.35">
      <c r="A232" s="19" t="s">
        <v>419</v>
      </c>
      <c r="B232" t="s">
        <v>807</v>
      </c>
    </row>
    <row r="233" spans="1:2" x14ac:dyDescent="0.35">
      <c r="A233" s="20" t="s">
        <v>419</v>
      </c>
      <c r="B233" t="s">
        <v>808</v>
      </c>
    </row>
    <row r="234" spans="1:2" x14ac:dyDescent="0.35">
      <c r="A234" s="19" t="s">
        <v>420</v>
      </c>
      <c r="B234" t="s">
        <v>809</v>
      </c>
    </row>
    <row r="235" spans="1:2" x14ac:dyDescent="0.35">
      <c r="A235" s="20" t="s">
        <v>420</v>
      </c>
      <c r="B235" t="s">
        <v>682</v>
      </c>
    </row>
    <row r="236" spans="1:2" x14ac:dyDescent="0.35">
      <c r="A236" s="15" t="s">
        <v>420</v>
      </c>
      <c r="B236" t="s">
        <v>810</v>
      </c>
    </row>
    <row r="237" spans="1:2" x14ac:dyDescent="0.35">
      <c r="A237" s="19" t="s">
        <v>420</v>
      </c>
      <c r="B237" t="s">
        <v>811</v>
      </c>
    </row>
    <row r="238" spans="1:2" x14ac:dyDescent="0.35">
      <c r="A238" s="19" t="s">
        <v>420</v>
      </c>
      <c r="B238" t="s">
        <v>812</v>
      </c>
    </row>
    <row r="239" spans="1:2" x14ac:dyDescent="0.35">
      <c r="A239" s="20" t="s">
        <v>421</v>
      </c>
      <c r="B239" t="s">
        <v>813</v>
      </c>
    </row>
    <row r="240" spans="1:2" x14ac:dyDescent="0.35">
      <c r="A240" s="19" t="s">
        <v>421</v>
      </c>
      <c r="B240" t="s">
        <v>671</v>
      </c>
    </row>
    <row r="241" spans="1:2" x14ac:dyDescent="0.35">
      <c r="A241" s="20" t="s">
        <v>421</v>
      </c>
      <c r="B241" t="s">
        <v>814</v>
      </c>
    </row>
    <row r="242" spans="1:2" x14ac:dyDescent="0.35">
      <c r="A242" s="19" t="s">
        <v>422</v>
      </c>
      <c r="B242" t="s">
        <v>815</v>
      </c>
    </row>
    <row r="243" spans="1:2" x14ac:dyDescent="0.35">
      <c r="A243" s="19" t="s">
        <v>422</v>
      </c>
      <c r="B243" t="s">
        <v>816</v>
      </c>
    </row>
    <row r="244" spans="1:2" x14ac:dyDescent="0.35">
      <c r="A244" s="15" t="s">
        <v>422</v>
      </c>
      <c r="B244" t="s">
        <v>685</v>
      </c>
    </row>
    <row r="245" spans="1:2" x14ac:dyDescent="0.35">
      <c r="A245" s="20" t="s">
        <v>422</v>
      </c>
      <c r="B245" t="s">
        <v>685</v>
      </c>
    </row>
    <row r="246" spans="1:2" x14ac:dyDescent="0.35">
      <c r="A246" s="15" t="s">
        <v>423</v>
      </c>
      <c r="B246" t="s">
        <v>817</v>
      </c>
    </row>
    <row r="247" spans="1:2" x14ac:dyDescent="0.35">
      <c r="A247" s="19" t="s">
        <v>423</v>
      </c>
      <c r="B247" t="s">
        <v>645</v>
      </c>
    </row>
    <row r="248" spans="1:2" x14ac:dyDescent="0.35">
      <c r="A248" s="19" t="s">
        <v>423</v>
      </c>
      <c r="B248" t="s">
        <v>667</v>
      </c>
    </row>
    <row r="249" spans="1:2" x14ac:dyDescent="0.35">
      <c r="A249" s="19" t="s">
        <v>424</v>
      </c>
      <c r="B249" t="s">
        <v>818</v>
      </c>
    </row>
    <row r="250" spans="1:2" x14ac:dyDescent="0.35">
      <c r="A250" s="19" t="s">
        <v>424</v>
      </c>
      <c r="B250" t="s">
        <v>819</v>
      </c>
    </row>
    <row r="251" spans="1:2" x14ac:dyDescent="0.35">
      <c r="A251" s="20" t="s">
        <v>424</v>
      </c>
      <c r="B251" t="s">
        <v>820</v>
      </c>
    </row>
    <row r="252" spans="1:2" x14ac:dyDescent="0.35">
      <c r="A252" s="15" t="s">
        <v>424</v>
      </c>
      <c r="B252" t="s">
        <v>821</v>
      </c>
    </row>
    <row r="253" spans="1:2" x14ac:dyDescent="0.35">
      <c r="A253" s="19" t="s">
        <v>424</v>
      </c>
      <c r="B253" t="s">
        <v>822</v>
      </c>
    </row>
    <row r="254" spans="1:2" x14ac:dyDescent="0.35">
      <c r="A254" s="15" t="s">
        <v>424</v>
      </c>
      <c r="B254" t="s">
        <v>823</v>
      </c>
    </row>
    <row r="255" spans="1:2" x14ac:dyDescent="0.35">
      <c r="A255" s="19" t="s">
        <v>424</v>
      </c>
      <c r="B255" t="s">
        <v>824</v>
      </c>
    </row>
    <row r="256" spans="1:2" x14ac:dyDescent="0.35">
      <c r="A256" s="15" t="s">
        <v>424</v>
      </c>
      <c r="B256" t="s">
        <v>825</v>
      </c>
    </row>
    <row r="257" spans="1:2" x14ac:dyDescent="0.35">
      <c r="A257" s="20" t="s">
        <v>424</v>
      </c>
      <c r="B257" t="s">
        <v>826</v>
      </c>
    </row>
    <row r="258" spans="1:2" x14ac:dyDescent="0.35">
      <c r="A258" s="19" t="s">
        <v>425</v>
      </c>
      <c r="B258" t="s">
        <v>827</v>
      </c>
    </row>
    <row r="259" spans="1:2" x14ac:dyDescent="0.35">
      <c r="A259" s="20" t="s">
        <v>425</v>
      </c>
      <c r="B259" t="s">
        <v>828</v>
      </c>
    </row>
    <row r="260" spans="1:2" x14ac:dyDescent="0.35">
      <c r="A260" s="19" t="s">
        <v>426</v>
      </c>
      <c r="B260" t="s">
        <v>829</v>
      </c>
    </row>
    <row r="261" spans="1:2" x14ac:dyDescent="0.35">
      <c r="A261" s="20" t="s">
        <v>426</v>
      </c>
      <c r="B261" t="s">
        <v>645</v>
      </c>
    </row>
    <row r="262" spans="1:2" x14ac:dyDescent="0.35">
      <c r="A262" s="19" t="s">
        <v>426</v>
      </c>
      <c r="B262" t="s">
        <v>720</v>
      </c>
    </row>
    <row r="263" spans="1:2" x14ac:dyDescent="0.35">
      <c r="A263" s="20" t="s">
        <v>426</v>
      </c>
      <c r="B263" t="s">
        <v>830</v>
      </c>
    </row>
    <row r="264" spans="1:2" x14ac:dyDescent="0.35">
      <c r="A264" s="15" t="s">
        <v>427</v>
      </c>
      <c r="B264" t="s">
        <v>831</v>
      </c>
    </row>
    <row r="265" spans="1:2" x14ac:dyDescent="0.35">
      <c r="A265" s="19" t="s">
        <v>427</v>
      </c>
      <c r="B265" t="s">
        <v>722</v>
      </c>
    </row>
    <row r="266" spans="1:2" x14ac:dyDescent="0.35">
      <c r="A266" s="19" t="s">
        <v>427</v>
      </c>
      <c r="B266" t="s">
        <v>832</v>
      </c>
    </row>
    <row r="267" spans="1:2" x14ac:dyDescent="0.35">
      <c r="A267" s="20" t="s">
        <v>427</v>
      </c>
      <c r="B267" t="s">
        <v>833</v>
      </c>
    </row>
    <row r="268" spans="1:2" x14ac:dyDescent="0.35">
      <c r="A268" s="19" t="s">
        <v>427</v>
      </c>
      <c r="B268" t="s">
        <v>834</v>
      </c>
    </row>
    <row r="269" spans="1:2" x14ac:dyDescent="0.35">
      <c r="A269" s="20" t="s">
        <v>427</v>
      </c>
      <c r="B269" t="s">
        <v>835</v>
      </c>
    </row>
    <row r="270" spans="1:2" x14ac:dyDescent="0.35">
      <c r="A270" s="19" t="s">
        <v>427</v>
      </c>
      <c r="B270" t="s">
        <v>836</v>
      </c>
    </row>
    <row r="271" spans="1:2" x14ac:dyDescent="0.35">
      <c r="A271" s="20" t="s">
        <v>427</v>
      </c>
      <c r="B271" t="s">
        <v>837</v>
      </c>
    </row>
    <row r="272" spans="1:2" x14ac:dyDescent="0.35">
      <c r="A272" s="19" t="s">
        <v>428</v>
      </c>
      <c r="B272" t="s">
        <v>838</v>
      </c>
    </row>
    <row r="273" spans="1:2" x14ac:dyDescent="0.35">
      <c r="A273" s="19" t="s">
        <v>428</v>
      </c>
      <c r="B273" t="s">
        <v>682</v>
      </c>
    </row>
    <row r="274" spans="1:2" x14ac:dyDescent="0.35">
      <c r="A274" s="19" t="s">
        <v>428</v>
      </c>
      <c r="B274" t="s">
        <v>722</v>
      </c>
    </row>
    <row r="275" spans="1:2" x14ac:dyDescent="0.35">
      <c r="A275" s="20" t="s">
        <v>428</v>
      </c>
      <c r="B275" t="s">
        <v>839</v>
      </c>
    </row>
    <row r="276" spans="1:2" x14ac:dyDescent="0.35">
      <c r="A276" s="15" t="s">
        <v>428</v>
      </c>
      <c r="B276" t="s">
        <v>840</v>
      </c>
    </row>
    <row r="277" spans="1:2" x14ac:dyDescent="0.35">
      <c r="A277" s="19" t="s">
        <v>429</v>
      </c>
      <c r="B277" t="s">
        <v>841</v>
      </c>
    </row>
    <row r="278" spans="1:2" x14ac:dyDescent="0.35">
      <c r="A278" s="19" t="s">
        <v>429</v>
      </c>
      <c r="B278" t="s">
        <v>842</v>
      </c>
    </row>
    <row r="279" spans="1:2" x14ac:dyDescent="0.35">
      <c r="A279" s="20" t="s">
        <v>429</v>
      </c>
      <c r="B279" t="s">
        <v>843</v>
      </c>
    </row>
    <row r="280" spans="1:2" x14ac:dyDescent="0.35">
      <c r="A280" s="15" t="s">
        <v>429</v>
      </c>
      <c r="B280" t="s">
        <v>844</v>
      </c>
    </row>
    <row r="281" spans="1:2" x14ac:dyDescent="0.35">
      <c r="A281" s="20" t="s">
        <v>429</v>
      </c>
      <c r="B281" t="s">
        <v>845</v>
      </c>
    </row>
    <row r="282" spans="1:2" x14ac:dyDescent="0.35">
      <c r="A282" s="19" t="s">
        <v>429</v>
      </c>
      <c r="B282" t="s">
        <v>846</v>
      </c>
    </row>
    <row r="283" spans="1:2" x14ac:dyDescent="0.35">
      <c r="A283" s="20" t="s">
        <v>429</v>
      </c>
      <c r="B283" t="s">
        <v>685</v>
      </c>
    </row>
    <row r="284" spans="1:2" x14ac:dyDescent="0.35">
      <c r="A284" s="15" t="s">
        <v>430</v>
      </c>
      <c r="B284" t="s">
        <v>847</v>
      </c>
    </row>
    <row r="285" spans="1:2" x14ac:dyDescent="0.35">
      <c r="A285" s="19" t="s">
        <v>430</v>
      </c>
      <c r="B285" t="s">
        <v>720</v>
      </c>
    </row>
    <row r="286" spans="1:2" x14ac:dyDescent="0.35">
      <c r="A286" s="19" t="s">
        <v>430</v>
      </c>
      <c r="B286" t="s">
        <v>848</v>
      </c>
    </row>
    <row r="287" spans="1:2" x14ac:dyDescent="0.35">
      <c r="A287" s="20" t="s">
        <v>431</v>
      </c>
      <c r="B287" t="s">
        <v>652</v>
      </c>
    </row>
    <row r="288" spans="1:2" x14ac:dyDescent="0.35">
      <c r="A288" s="19" t="s">
        <v>431</v>
      </c>
      <c r="B288" t="s">
        <v>849</v>
      </c>
    </row>
    <row r="289" spans="1:2" x14ac:dyDescent="0.35">
      <c r="A289" s="20" t="s">
        <v>431</v>
      </c>
      <c r="B289" t="s">
        <v>850</v>
      </c>
    </row>
    <row r="290" spans="1:2" x14ac:dyDescent="0.35">
      <c r="A290" s="15" t="s">
        <v>431</v>
      </c>
      <c r="B290" t="s">
        <v>851</v>
      </c>
    </row>
    <row r="291" spans="1:2" x14ac:dyDescent="0.35">
      <c r="A291" s="19" t="s">
        <v>431</v>
      </c>
      <c r="B291" t="s">
        <v>852</v>
      </c>
    </row>
    <row r="292" spans="1:2" x14ac:dyDescent="0.35">
      <c r="A292" s="19" t="s">
        <v>432</v>
      </c>
      <c r="B292" t="s">
        <v>853</v>
      </c>
    </row>
    <row r="293" spans="1:2" x14ac:dyDescent="0.35">
      <c r="A293" s="20" t="s">
        <v>432</v>
      </c>
      <c r="B293" t="s">
        <v>854</v>
      </c>
    </row>
    <row r="294" spans="1:2" x14ac:dyDescent="0.35">
      <c r="A294" s="15" t="s">
        <v>432</v>
      </c>
      <c r="B294" t="s">
        <v>645</v>
      </c>
    </row>
    <row r="295" spans="1:2" x14ac:dyDescent="0.35">
      <c r="A295" s="19" t="s">
        <v>432</v>
      </c>
      <c r="B295" t="s">
        <v>855</v>
      </c>
    </row>
    <row r="296" spans="1:2" x14ac:dyDescent="0.35">
      <c r="A296" s="15" t="s">
        <v>433</v>
      </c>
      <c r="B296" t="s">
        <v>856</v>
      </c>
    </row>
    <row r="297" spans="1:2" x14ac:dyDescent="0.35">
      <c r="A297" s="20" t="s">
        <v>433</v>
      </c>
      <c r="B297" t="s">
        <v>665</v>
      </c>
    </row>
    <row r="298" spans="1:2" x14ac:dyDescent="0.35">
      <c r="A298" s="19" t="s">
        <v>433</v>
      </c>
      <c r="B298" t="s">
        <v>857</v>
      </c>
    </row>
    <row r="299" spans="1:2" x14ac:dyDescent="0.35">
      <c r="A299" s="20" t="s">
        <v>433</v>
      </c>
      <c r="B299" t="s">
        <v>858</v>
      </c>
    </row>
    <row r="300" spans="1:2" x14ac:dyDescent="0.35">
      <c r="A300" s="19" t="s">
        <v>433</v>
      </c>
      <c r="B300" t="s">
        <v>859</v>
      </c>
    </row>
    <row r="301" spans="1:2" x14ac:dyDescent="0.35">
      <c r="A301" s="19" t="s">
        <v>433</v>
      </c>
      <c r="B301" t="s">
        <v>860</v>
      </c>
    </row>
    <row r="302" spans="1:2" x14ac:dyDescent="0.35">
      <c r="A302" s="19" t="s">
        <v>434</v>
      </c>
      <c r="B302" t="s">
        <v>861</v>
      </c>
    </row>
    <row r="303" spans="1:2" x14ac:dyDescent="0.35">
      <c r="A303" s="19" t="s">
        <v>434</v>
      </c>
      <c r="B303" t="s">
        <v>862</v>
      </c>
    </row>
    <row r="304" spans="1:2" x14ac:dyDescent="0.35">
      <c r="A304" s="19" t="s">
        <v>434</v>
      </c>
      <c r="B304" t="s">
        <v>863</v>
      </c>
    </row>
    <row r="305" spans="1:2" x14ac:dyDescent="0.35">
      <c r="A305" s="20" t="s">
        <v>434</v>
      </c>
      <c r="B305" t="s">
        <v>864</v>
      </c>
    </row>
    <row r="306" spans="1:2" x14ac:dyDescent="0.35">
      <c r="A306" s="15" t="s">
        <v>434</v>
      </c>
      <c r="B306" t="s">
        <v>865</v>
      </c>
    </row>
    <row r="307" spans="1:2" x14ac:dyDescent="0.35">
      <c r="A307" s="20" t="s">
        <v>434</v>
      </c>
      <c r="B307" t="s">
        <v>866</v>
      </c>
    </row>
    <row r="308" spans="1:2" x14ac:dyDescent="0.35">
      <c r="A308" s="19" t="s">
        <v>434</v>
      </c>
      <c r="B308" t="s">
        <v>867</v>
      </c>
    </row>
    <row r="309" spans="1:2" x14ac:dyDescent="0.35">
      <c r="A309" s="19" t="s">
        <v>434</v>
      </c>
      <c r="B309" t="s">
        <v>868</v>
      </c>
    </row>
    <row r="310" spans="1:2" x14ac:dyDescent="0.35">
      <c r="A310" s="15" t="s">
        <v>434</v>
      </c>
      <c r="B310" t="s">
        <v>869</v>
      </c>
    </row>
    <row r="311" spans="1:2" x14ac:dyDescent="0.35">
      <c r="A311" s="20" t="s">
        <v>434</v>
      </c>
      <c r="B311" t="s">
        <v>661</v>
      </c>
    </row>
    <row r="312" spans="1:2" x14ac:dyDescent="0.35">
      <c r="A312" s="19" t="s">
        <v>434</v>
      </c>
      <c r="B312" t="s">
        <v>870</v>
      </c>
    </row>
    <row r="313" spans="1:2" x14ac:dyDescent="0.35">
      <c r="A313" s="20" t="s">
        <v>434</v>
      </c>
      <c r="B313" t="s">
        <v>871</v>
      </c>
    </row>
    <row r="314" spans="1:2" x14ac:dyDescent="0.35">
      <c r="A314" s="19" t="s">
        <v>435</v>
      </c>
      <c r="B314" t="s">
        <v>872</v>
      </c>
    </row>
    <row r="315" spans="1:2" x14ac:dyDescent="0.35">
      <c r="A315" s="19" t="s">
        <v>435</v>
      </c>
      <c r="B315" t="s">
        <v>757</v>
      </c>
    </row>
    <row r="316" spans="1:2" x14ac:dyDescent="0.35">
      <c r="A316" s="15" t="s">
        <v>435</v>
      </c>
      <c r="B316" t="s">
        <v>873</v>
      </c>
    </row>
    <row r="317" spans="1:2" x14ac:dyDescent="0.35">
      <c r="A317" s="20" t="s">
        <v>435</v>
      </c>
      <c r="B317" t="s">
        <v>681</v>
      </c>
    </row>
    <row r="318" spans="1:2" x14ac:dyDescent="0.35">
      <c r="A318" s="19" t="s">
        <v>435</v>
      </c>
      <c r="B318" t="s">
        <v>874</v>
      </c>
    </row>
    <row r="319" spans="1:2" x14ac:dyDescent="0.35">
      <c r="A319" s="19" t="s">
        <v>435</v>
      </c>
      <c r="B319" t="s">
        <v>689</v>
      </c>
    </row>
    <row r="320" spans="1:2" x14ac:dyDescent="0.35">
      <c r="A320" s="15" t="s">
        <v>435</v>
      </c>
      <c r="B320" t="s">
        <v>875</v>
      </c>
    </row>
    <row r="321" spans="1:2" x14ac:dyDescent="0.35">
      <c r="A321" s="20" t="s">
        <v>435</v>
      </c>
      <c r="B321" t="s">
        <v>876</v>
      </c>
    </row>
    <row r="322" spans="1:2" x14ac:dyDescent="0.35">
      <c r="A322" s="19" t="s">
        <v>435</v>
      </c>
      <c r="B322" t="s">
        <v>877</v>
      </c>
    </row>
    <row r="323" spans="1:2" x14ac:dyDescent="0.35">
      <c r="A323" s="20" t="s">
        <v>435</v>
      </c>
      <c r="B323" t="s">
        <v>878</v>
      </c>
    </row>
    <row r="324" spans="1:2" x14ac:dyDescent="0.35">
      <c r="A324" s="15" t="s">
        <v>436</v>
      </c>
      <c r="B324" t="s">
        <v>879</v>
      </c>
    </row>
    <row r="325" spans="1:2" x14ac:dyDescent="0.35">
      <c r="A325" s="20" t="s">
        <v>436</v>
      </c>
      <c r="B325" t="s">
        <v>729</v>
      </c>
    </row>
    <row r="326" spans="1:2" x14ac:dyDescent="0.35">
      <c r="A326" s="19" t="s">
        <v>436</v>
      </c>
      <c r="B326" t="s">
        <v>880</v>
      </c>
    </row>
    <row r="327" spans="1:2" x14ac:dyDescent="0.35">
      <c r="A327" s="19" t="s">
        <v>436</v>
      </c>
      <c r="B327" t="s">
        <v>881</v>
      </c>
    </row>
    <row r="328" spans="1:2" x14ac:dyDescent="0.35">
      <c r="A328" s="19" t="s">
        <v>436</v>
      </c>
      <c r="B328" t="s">
        <v>882</v>
      </c>
    </row>
    <row r="329" spans="1:2" x14ac:dyDescent="0.35">
      <c r="A329" s="20" t="s">
        <v>437</v>
      </c>
      <c r="B329" t="s">
        <v>883</v>
      </c>
    </row>
    <row r="330" spans="1:2" x14ac:dyDescent="0.35">
      <c r="A330" s="19" t="s">
        <v>437</v>
      </c>
      <c r="B330" t="s">
        <v>884</v>
      </c>
    </row>
    <row r="331" spans="1:2" x14ac:dyDescent="0.35">
      <c r="A331" s="20" t="s">
        <v>437</v>
      </c>
      <c r="B331" t="s">
        <v>885</v>
      </c>
    </row>
    <row r="332" spans="1:2" x14ac:dyDescent="0.35">
      <c r="A332" s="15" t="s">
        <v>437</v>
      </c>
      <c r="B332" t="s">
        <v>652</v>
      </c>
    </row>
    <row r="333" spans="1:2" x14ac:dyDescent="0.35">
      <c r="A333" s="19" t="s">
        <v>437</v>
      </c>
      <c r="B333" t="s">
        <v>886</v>
      </c>
    </row>
    <row r="334" spans="1:2" x14ac:dyDescent="0.35">
      <c r="A334" s="19" t="s">
        <v>438</v>
      </c>
      <c r="B334" t="s">
        <v>682</v>
      </c>
    </row>
    <row r="335" spans="1:2" x14ac:dyDescent="0.35">
      <c r="A335" s="19" t="s">
        <v>438</v>
      </c>
      <c r="B335" t="s">
        <v>887</v>
      </c>
    </row>
    <row r="336" spans="1:2" x14ac:dyDescent="0.35">
      <c r="A336" s="19" t="s">
        <v>438</v>
      </c>
      <c r="B336" t="s">
        <v>888</v>
      </c>
    </row>
    <row r="337" spans="1:2" x14ac:dyDescent="0.35">
      <c r="A337" s="20" t="s">
        <v>438</v>
      </c>
      <c r="B337" t="s">
        <v>889</v>
      </c>
    </row>
    <row r="338" spans="1:2" x14ac:dyDescent="0.35">
      <c r="A338" s="15" t="s">
        <v>438</v>
      </c>
      <c r="B338" t="s">
        <v>890</v>
      </c>
    </row>
    <row r="339" spans="1:2" x14ac:dyDescent="0.35">
      <c r="A339" s="20" t="s">
        <v>438</v>
      </c>
      <c r="B339" t="s">
        <v>891</v>
      </c>
    </row>
    <row r="340" spans="1:2" x14ac:dyDescent="0.35">
      <c r="A340" s="19" t="s">
        <v>439</v>
      </c>
      <c r="B340" t="s">
        <v>892</v>
      </c>
    </row>
    <row r="341" spans="1:2" x14ac:dyDescent="0.35">
      <c r="A341" s="19" t="s">
        <v>439</v>
      </c>
      <c r="B341" t="s">
        <v>893</v>
      </c>
    </row>
    <row r="342" spans="1:2" x14ac:dyDescent="0.35">
      <c r="A342" s="15" t="s">
        <v>439</v>
      </c>
      <c r="B342" t="s">
        <v>894</v>
      </c>
    </row>
    <row r="343" spans="1:2" x14ac:dyDescent="0.35">
      <c r="A343" s="20" t="s">
        <v>439</v>
      </c>
      <c r="B343" t="s">
        <v>685</v>
      </c>
    </row>
    <row r="344" spans="1:2" x14ac:dyDescent="0.35">
      <c r="A344" s="15" t="s">
        <v>439</v>
      </c>
      <c r="B344" t="s">
        <v>895</v>
      </c>
    </row>
    <row r="345" spans="1:2" x14ac:dyDescent="0.35">
      <c r="A345" s="19" t="s">
        <v>439</v>
      </c>
      <c r="B345" t="s">
        <v>896</v>
      </c>
    </row>
    <row r="346" spans="1:2" x14ac:dyDescent="0.35">
      <c r="A346" s="19" t="s">
        <v>440</v>
      </c>
      <c r="B346" t="s">
        <v>897</v>
      </c>
    </row>
    <row r="347" spans="1:2" x14ac:dyDescent="0.35">
      <c r="A347" s="20" t="s">
        <v>440</v>
      </c>
      <c r="B347" t="s">
        <v>898</v>
      </c>
    </row>
    <row r="348" spans="1:2" x14ac:dyDescent="0.35">
      <c r="A348" s="19" t="s">
        <v>441</v>
      </c>
      <c r="B348" t="s">
        <v>899</v>
      </c>
    </row>
    <row r="349" spans="1:2" x14ac:dyDescent="0.35">
      <c r="A349" s="20" t="s">
        <v>441</v>
      </c>
      <c r="B349" t="s">
        <v>900</v>
      </c>
    </row>
    <row r="350" spans="1:2" x14ac:dyDescent="0.35">
      <c r="A350" s="19" t="s">
        <v>441</v>
      </c>
      <c r="B350" t="s">
        <v>745</v>
      </c>
    </row>
    <row r="351" spans="1:2" x14ac:dyDescent="0.35">
      <c r="A351" s="19" t="s">
        <v>441</v>
      </c>
      <c r="B351" t="s">
        <v>901</v>
      </c>
    </row>
    <row r="352" spans="1:2" x14ac:dyDescent="0.35">
      <c r="A352" s="15" t="s">
        <v>441</v>
      </c>
      <c r="B352" t="s">
        <v>902</v>
      </c>
    </row>
    <row r="353" spans="1:2" x14ac:dyDescent="0.35">
      <c r="A353" s="20" t="s">
        <v>442</v>
      </c>
      <c r="B353" t="s">
        <v>903</v>
      </c>
    </row>
    <row r="354" spans="1:2" x14ac:dyDescent="0.35">
      <c r="A354" s="19" t="s">
        <v>442</v>
      </c>
      <c r="B354" t="s">
        <v>904</v>
      </c>
    </row>
    <row r="355" spans="1:2" x14ac:dyDescent="0.35">
      <c r="A355" s="20" t="s">
        <v>442</v>
      </c>
      <c r="B355" t="s">
        <v>905</v>
      </c>
    </row>
    <row r="356" spans="1:2" x14ac:dyDescent="0.35">
      <c r="A356" s="19" t="s">
        <v>442</v>
      </c>
      <c r="B356" t="s">
        <v>906</v>
      </c>
    </row>
    <row r="357" spans="1:2" x14ac:dyDescent="0.35">
      <c r="A357" s="20" t="s">
        <v>442</v>
      </c>
      <c r="B357" t="s">
        <v>907</v>
      </c>
    </row>
    <row r="358" spans="1:2" x14ac:dyDescent="0.35">
      <c r="A358" s="19" t="s">
        <v>442</v>
      </c>
      <c r="B358" t="s">
        <v>663</v>
      </c>
    </row>
    <row r="359" spans="1:2" x14ac:dyDescent="0.35">
      <c r="A359" s="19" t="s">
        <v>443</v>
      </c>
      <c r="B359" t="s">
        <v>908</v>
      </c>
    </row>
    <row r="360" spans="1:2" x14ac:dyDescent="0.35">
      <c r="A360" s="15" t="s">
        <v>443</v>
      </c>
      <c r="B360" t="s">
        <v>909</v>
      </c>
    </row>
    <row r="361" spans="1:2" x14ac:dyDescent="0.35">
      <c r="A361" s="19" t="s">
        <v>443</v>
      </c>
      <c r="B361" t="s">
        <v>910</v>
      </c>
    </row>
    <row r="362" spans="1:2" x14ac:dyDescent="0.35">
      <c r="A362" s="15" t="s">
        <v>443</v>
      </c>
      <c r="B362" t="s">
        <v>911</v>
      </c>
    </row>
    <row r="363" spans="1:2" x14ac:dyDescent="0.35">
      <c r="A363" s="20" t="s">
        <v>444</v>
      </c>
      <c r="B363" t="s">
        <v>912</v>
      </c>
    </row>
    <row r="364" spans="1:2" x14ac:dyDescent="0.35">
      <c r="A364" s="15" t="s">
        <v>444</v>
      </c>
      <c r="B364" t="s">
        <v>913</v>
      </c>
    </row>
    <row r="365" spans="1:2" x14ac:dyDescent="0.35">
      <c r="A365" s="20" t="s">
        <v>444</v>
      </c>
      <c r="B365" t="s">
        <v>914</v>
      </c>
    </row>
    <row r="366" spans="1:2" x14ac:dyDescent="0.35">
      <c r="A366" s="19" t="s">
        <v>444</v>
      </c>
      <c r="B366" t="s">
        <v>915</v>
      </c>
    </row>
    <row r="367" spans="1:2" x14ac:dyDescent="0.35">
      <c r="A367" s="20" t="s">
        <v>444</v>
      </c>
      <c r="B367" t="s">
        <v>745</v>
      </c>
    </row>
    <row r="368" spans="1:2" x14ac:dyDescent="0.35">
      <c r="A368" s="19" t="s">
        <v>444</v>
      </c>
      <c r="B368" t="s">
        <v>916</v>
      </c>
    </row>
    <row r="369" spans="1:2" x14ac:dyDescent="0.35">
      <c r="A369" s="19" t="s">
        <v>444</v>
      </c>
      <c r="B369" t="s">
        <v>917</v>
      </c>
    </row>
    <row r="370" spans="1:2" x14ac:dyDescent="0.35">
      <c r="A370" s="19" t="s">
        <v>444</v>
      </c>
      <c r="B370" t="s">
        <v>918</v>
      </c>
    </row>
    <row r="371" spans="1:2" x14ac:dyDescent="0.35">
      <c r="A371" s="20" t="s">
        <v>445</v>
      </c>
      <c r="B371" t="s">
        <v>919</v>
      </c>
    </row>
    <row r="372" spans="1:2" x14ac:dyDescent="0.35">
      <c r="A372" s="19" t="s">
        <v>445</v>
      </c>
      <c r="B372" t="s">
        <v>920</v>
      </c>
    </row>
    <row r="373" spans="1:2" x14ac:dyDescent="0.35">
      <c r="A373" s="19" t="s">
        <v>446</v>
      </c>
      <c r="B373" t="s">
        <v>722</v>
      </c>
    </row>
    <row r="374" spans="1:2" x14ac:dyDescent="0.35">
      <c r="A374" s="15" t="s">
        <v>446</v>
      </c>
      <c r="B374" t="s">
        <v>921</v>
      </c>
    </row>
    <row r="375" spans="1:2" x14ac:dyDescent="0.35">
      <c r="A375" s="20" t="s">
        <v>446</v>
      </c>
      <c r="B375" t="s">
        <v>922</v>
      </c>
    </row>
    <row r="376" spans="1:2" x14ac:dyDescent="0.35">
      <c r="A376" s="19" t="s">
        <v>446</v>
      </c>
      <c r="B376" t="s">
        <v>923</v>
      </c>
    </row>
    <row r="377" spans="1:2" x14ac:dyDescent="0.35">
      <c r="A377" s="19" t="s">
        <v>447</v>
      </c>
      <c r="B377" t="s">
        <v>924</v>
      </c>
    </row>
    <row r="378" spans="1:2" x14ac:dyDescent="0.35">
      <c r="A378" s="15" t="s">
        <v>447</v>
      </c>
      <c r="B378" t="s">
        <v>925</v>
      </c>
    </row>
    <row r="379" spans="1:2" x14ac:dyDescent="0.35">
      <c r="A379" s="20" t="s">
        <v>447</v>
      </c>
      <c r="B379" t="s">
        <v>926</v>
      </c>
    </row>
    <row r="380" spans="1:2" x14ac:dyDescent="0.35">
      <c r="A380" s="19" t="s">
        <v>447</v>
      </c>
      <c r="B380" t="s">
        <v>682</v>
      </c>
    </row>
    <row r="381" spans="1:2" x14ac:dyDescent="0.35">
      <c r="A381" s="19" t="s">
        <v>448</v>
      </c>
      <c r="B381" t="s">
        <v>927</v>
      </c>
    </row>
    <row r="382" spans="1:2" x14ac:dyDescent="0.35">
      <c r="A382" s="15" t="s">
        <v>448</v>
      </c>
      <c r="B382" t="s">
        <v>720</v>
      </c>
    </row>
    <row r="383" spans="1:2" x14ac:dyDescent="0.35">
      <c r="A383" s="19" t="s">
        <v>448</v>
      </c>
      <c r="B383" t="s">
        <v>928</v>
      </c>
    </row>
    <row r="384" spans="1:2" x14ac:dyDescent="0.35">
      <c r="A384" s="15" t="s">
        <v>448</v>
      </c>
      <c r="B384" t="s">
        <v>804</v>
      </c>
    </row>
    <row r="385" spans="1:2" x14ac:dyDescent="0.35">
      <c r="A385" s="19" t="s">
        <v>448</v>
      </c>
      <c r="B385" t="s">
        <v>929</v>
      </c>
    </row>
    <row r="386" spans="1:2" x14ac:dyDescent="0.35">
      <c r="A386" s="15" t="s">
        <v>448</v>
      </c>
      <c r="B386" t="s">
        <v>930</v>
      </c>
    </row>
    <row r="387" spans="1:2" x14ac:dyDescent="0.35">
      <c r="A387" s="20" t="s">
        <v>449</v>
      </c>
      <c r="B387" t="s">
        <v>931</v>
      </c>
    </row>
    <row r="388" spans="1:2" x14ac:dyDescent="0.35">
      <c r="A388" s="15" t="s">
        <v>449</v>
      </c>
      <c r="B388" t="s">
        <v>692</v>
      </c>
    </row>
    <row r="389" spans="1:2" x14ac:dyDescent="0.35">
      <c r="A389" s="19" t="s">
        <v>449</v>
      </c>
      <c r="B389" t="s">
        <v>932</v>
      </c>
    </row>
    <row r="390" spans="1:2" x14ac:dyDescent="0.35">
      <c r="A390" s="19" t="s">
        <v>449</v>
      </c>
      <c r="B390" t="s">
        <v>933</v>
      </c>
    </row>
    <row r="391" spans="1:2" x14ac:dyDescent="0.35">
      <c r="A391" s="19" t="s">
        <v>450</v>
      </c>
      <c r="B391" t="s">
        <v>934</v>
      </c>
    </row>
    <row r="392" spans="1:2" x14ac:dyDescent="0.35">
      <c r="A392" s="15" t="s">
        <v>450</v>
      </c>
      <c r="B392" t="s">
        <v>935</v>
      </c>
    </row>
    <row r="393" spans="1:2" x14ac:dyDescent="0.35">
      <c r="A393" s="19" t="s">
        <v>450</v>
      </c>
      <c r="B393" t="s">
        <v>936</v>
      </c>
    </row>
    <row r="394" spans="1:2" x14ac:dyDescent="0.35">
      <c r="A394" s="15" t="s">
        <v>450</v>
      </c>
      <c r="B394" t="s">
        <v>937</v>
      </c>
    </row>
    <row r="395" spans="1:2" x14ac:dyDescent="0.35">
      <c r="A395" s="20" t="s">
        <v>450</v>
      </c>
      <c r="B395" t="s">
        <v>938</v>
      </c>
    </row>
    <row r="396" spans="1:2" x14ac:dyDescent="0.35">
      <c r="A396" s="19" t="s">
        <v>450</v>
      </c>
      <c r="B396" t="s">
        <v>939</v>
      </c>
    </row>
    <row r="397" spans="1:2" x14ac:dyDescent="0.35">
      <c r="A397" s="19" t="s">
        <v>451</v>
      </c>
      <c r="B397" t="s">
        <v>940</v>
      </c>
    </row>
    <row r="398" spans="1:2" x14ac:dyDescent="0.35">
      <c r="A398" s="19" t="s">
        <v>451</v>
      </c>
      <c r="B398" t="s">
        <v>941</v>
      </c>
    </row>
    <row r="399" spans="1:2" x14ac:dyDescent="0.35">
      <c r="A399" s="19" t="s">
        <v>451</v>
      </c>
      <c r="B399" t="s">
        <v>729</v>
      </c>
    </row>
    <row r="400" spans="1:2" x14ac:dyDescent="0.35">
      <c r="A400" s="19" t="s">
        <v>451</v>
      </c>
      <c r="B400" t="s">
        <v>942</v>
      </c>
    </row>
    <row r="401" spans="1:2" x14ac:dyDescent="0.35">
      <c r="A401" s="19" t="s">
        <v>451</v>
      </c>
      <c r="B401" t="s">
        <v>943</v>
      </c>
    </row>
    <row r="402" spans="1:2" x14ac:dyDescent="0.35">
      <c r="A402" s="15" t="s">
        <v>451</v>
      </c>
      <c r="B402" t="s">
        <v>665</v>
      </c>
    </row>
    <row r="403" spans="1:2" x14ac:dyDescent="0.35">
      <c r="A403" s="20" t="s">
        <v>451</v>
      </c>
      <c r="B403" t="s">
        <v>944</v>
      </c>
    </row>
    <row r="404" spans="1:2" x14ac:dyDescent="0.35">
      <c r="A404" s="15" t="s">
        <v>451</v>
      </c>
      <c r="B404" t="s">
        <v>945</v>
      </c>
    </row>
    <row r="405" spans="1:2" x14ac:dyDescent="0.35">
      <c r="A405" s="20" t="s">
        <v>451</v>
      </c>
      <c r="B405" t="s">
        <v>946</v>
      </c>
    </row>
    <row r="406" spans="1:2" x14ac:dyDescent="0.35">
      <c r="A406" s="15" t="s">
        <v>451</v>
      </c>
      <c r="B406" t="s">
        <v>947</v>
      </c>
    </row>
    <row r="407" spans="1:2" x14ac:dyDescent="0.35">
      <c r="A407" s="19" t="s">
        <v>452</v>
      </c>
      <c r="B407" t="s">
        <v>948</v>
      </c>
    </row>
    <row r="408" spans="1:2" x14ac:dyDescent="0.35">
      <c r="A408" s="15" t="s">
        <v>452</v>
      </c>
      <c r="B408" t="s">
        <v>761</v>
      </c>
    </row>
    <row r="409" spans="1:2" x14ac:dyDescent="0.35">
      <c r="A409" s="20" t="s">
        <v>452</v>
      </c>
      <c r="B409" t="s">
        <v>949</v>
      </c>
    </row>
    <row r="410" spans="1:2" x14ac:dyDescent="0.35">
      <c r="A410" s="19" t="s">
        <v>452</v>
      </c>
      <c r="B410" t="s">
        <v>728</v>
      </c>
    </row>
    <row r="411" spans="1:2" x14ac:dyDescent="0.35">
      <c r="A411" s="20" t="s">
        <v>452</v>
      </c>
      <c r="B411" t="s">
        <v>950</v>
      </c>
    </row>
    <row r="412" spans="1:2" x14ac:dyDescent="0.35">
      <c r="A412" s="19" t="s">
        <v>453</v>
      </c>
      <c r="B412" t="s">
        <v>951</v>
      </c>
    </row>
    <row r="413" spans="1:2" x14ac:dyDescent="0.35">
      <c r="A413" s="20" t="s">
        <v>454</v>
      </c>
      <c r="B413" t="s">
        <v>952</v>
      </c>
    </row>
    <row r="414" spans="1:2" x14ac:dyDescent="0.35">
      <c r="A414" s="19" t="s">
        <v>454</v>
      </c>
      <c r="B414" t="s">
        <v>953</v>
      </c>
    </row>
    <row r="415" spans="1:2" x14ac:dyDescent="0.35">
      <c r="A415" s="19" t="s">
        <v>454</v>
      </c>
      <c r="B415" t="s">
        <v>954</v>
      </c>
    </row>
    <row r="416" spans="1:2" x14ac:dyDescent="0.35">
      <c r="A416" s="15" t="s">
        <v>454</v>
      </c>
      <c r="B416" t="s">
        <v>955</v>
      </c>
    </row>
    <row r="417" spans="1:2" x14ac:dyDescent="0.35">
      <c r="A417" s="20" t="s">
        <v>454</v>
      </c>
      <c r="B417" t="s">
        <v>685</v>
      </c>
    </row>
    <row r="418" spans="1:2" x14ac:dyDescent="0.35">
      <c r="A418" s="19" t="s">
        <v>454</v>
      </c>
      <c r="B418" t="s">
        <v>956</v>
      </c>
    </row>
    <row r="419" spans="1:2" x14ac:dyDescent="0.35">
      <c r="A419" s="20" t="s">
        <v>454</v>
      </c>
      <c r="B419" t="s">
        <v>645</v>
      </c>
    </row>
    <row r="420" spans="1:2" x14ac:dyDescent="0.35">
      <c r="A420" s="15" t="s">
        <v>455</v>
      </c>
      <c r="B420" t="s">
        <v>957</v>
      </c>
    </row>
    <row r="421" spans="1:2" x14ac:dyDescent="0.35">
      <c r="A421" s="19" t="s">
        <v>455</v>
      </c>
      <c r="B421" t="s">
        <v>958</v>
      </c>
    </row>
    <row r="422" spans="1:2" x14ac:dyDescent="0.35">
      <c r="A422" s="15" t="s">
        <v>455</v>
      </c>
      <c r="B422" t="s">
        <v>959</v>
      </c>
    </row>
    <row r="423" spans="1:2" x14ac:dyDescent="0.35">
      <c r="A423" s="19" t="s">
        <v>455</v>
      </c>
      <c r="B423" t="s">
        <v>960</v>
      </c>
    </row>
    <row r="424" spans="1:2" x14ac:dyDescent="0.35">
      <c r="A424" s="19" t="s">
        <v>455</v>
      </c>
      <c r="B424" t="s">
        <v>645</v>
      </c>
    </row>
    <row r="425" spans="1:2" x14ac:dyDescent="0.35">
      <c r="A425" s="19" t="s">
        <v>456</v>
      </c>
      <c r="B425" t="s">
        <v>961</v>
      </c>
    </row>
    <row r="426" spans="1:2" x14ac:dyDescent="0.35">
      <c r="A426" s="15" t="s">
        <v>456</v>
      </c>
      <c r="B426" t="s">
        <v>962</v>
      </c>
    </row>
    <row r="427" spans="1:2" x14ac:dyDescent="0.35">
      <c r="A427" s="20" t="s">
        <v>456</v>
      </c>
      <c r="B427" t="s">
        <v>963</v>
      </c>
    </row>
    <row r="428" spans="1:2" x14ac:dyDescent="0.35">
      <c r="A428" s="19" t="s">
        <v>456</v>
      </c>
      <c r="B428" t="s">
        <v>964</v>
      </c>
    </row>
    <row r="429" spans="1:2" x14ac:dyDescent="0.35">
      <c r="A429" s="20" t="s">
        <v>457</v>
      </c>
      <c r="B429" t="s">
        <v>727</v>
      </c>
    </row>
    <row r="430" spans="1:2" x14ac:dyDescent="0.35">
      <c r="A430" s="19" t="s">
        <v>457</v>
      </c>
      <c r="B430" t="s">
        <v>965</v>
      </c>
    </row>
    <row r="431" spans="1:2" x14ac:dyDescent="0.35">
      <c r="A431" s="19" t="s">
        <v>458</v>
      </c>
      <c r="B431" t="s">
        <v>966</v>
      </c>
    </row>
    <row r="432" spans="1:2" x14ac:dyDescent="0.35">
      <c r="A432" s="19" t="s">
        <v>458</v>
      </c>
      <c r="B432" t="s">
        <v>967</v>
      </c>
    </row>
    <row r="433" spans="1:2" x14ac:dyDescent="0.35">
      <c r="A433" s="20" t="s">
        <v>458</v>
      </c>
      <c r="B433" t="s">
        <v>968</v>
      </c>
    </row>
    <row r="434" spans="1:2" x14ac:dyDescent="0.35">
      <c r="A434" s="15" t="s">
        <v>458</v>
      </c>
      <c r="B434" t="s">
        <v>969</v>
      </c>
    </row>
    <row r="435" spans="1:2" x14ac:dyDescent="0.35">
      <c r="A435" s="19" t="s">
        <v>459</v>
      </c>
      <c r="B435" t="s">
        <v>970</v>
      </c>
    </row>
    <row r="436" spans="1:2" x14ac:dyDescent="0.35">
      <c r="A436" s="19" t="s">
        <v>459</v>
      </c>
      <c r="B436" t="s">
        <v>971</v>
      </c>
    </row>
    <row r="437" spans="1:2" x14ac:dyDescent="0.35">
      <c r="A437" s="20" t="s">
        <v>459</v>
      </c>
      <c r="B437" t="s">
        <v>972</v>
      </c>
    </row>
    <row r="438" spans="1:2" x14ac:dyDescent="0.35">
      <c r="A438" s="15" t="s">
        <v>459</v>
      </c>
      <c r="B438" t="s">
        <v>973</v>
      </c>
    </row>
    <row r="439" spans="1:2" x14ac:dyDescent="0.35">
      <c r="A439" s="20" t="s">
        <v>460</v>
      </c>
      <c r="B439" t="s">
        <v>974</v>
      </c>
    </row>
    <row r="440" spans="1:2" x14ac:dyDescent="0.35">
      <c r="A440" s="19" t="s">
        <v>460</v>
      </c>
      <c r="B440" t="s">
        <v>975</v>
      </c>
    </row>
    <row r="441" spans="1:2" x14ac:dyDescent="0.35">
      <c r="A441" s="20" t="s">
        <v>460</v>
      </c>
      <c r="B441" t="s">
        <v>864</v>
      </c>
    </row>
    <row r="442" spans="1:2" x14ac:dyDescent="0.35">
      <c r="A442" s="19" t="s">
        <v>461</v>
      </c>
      <c r="B442" t="s">
        <v>976</v>
      </c>
    </row>
    <row r="443" spans="1:2" x14ac:dyDescent="0.35">
      <c r="A443" s="20" t="s">
        <v>461</v>
      </c>
      <c r="B443" t="s">
        <v>977</v>
      </c>
    </row>
    <row r="444" spans="1:2" x14ac:dyDescent="0.35">
      <c r="A444" s="19" t="s">
        <v>461</v>
      </c>
      <c r="B444" t="s">
        <v>645</v>
      </c>
    </row>
    <row r="445" spans="1:2" x14ac:dyDescent="0.35">
      <c r="A445" s="19" t="s">
        <v>462</v>
      </c>
      <c r="B445" t="s">
        <v>978</v>
      </c>
    </row>
    <row r="446" spans="1:2" x14ac:dyDescent="0.35">
      <c r="A446" s="19" t="s">
        <v>462</v>
      </c>
      <c r="B446" t="s">
        <v>979</v>
      </c>
    </row>
    <row r="447" spans="1:2" x14ac:dyDescent="0.35">
      <c r="A447" s="20" t="s">
        <v>462</v>
      </c>
      <c r="B447" t="s">
        <v>980</v>
      </c>
    </row>
    <row r="448" spans="1:2" x14ac:dyDescent="0.35">
      <c r="A448" s="19" t="s">
        <v>462</v>
      </c>
      <c r="B448" t="s">
        <v>981</v>
      </c>
    </row>
    <row r="449" spans="1:2" x14ac:dyDescent="0.35">
      <c r="A449" s="20" t="s">
        <v>462</v>
      </c>
      <c r="B449" t="s">
        <v>982</v>
      </c>
    </row>
    <row r="450" spans="1:2" x14ac:dyDescent="0.35">
      <c r="A450" s="15" t="s">
        <v>462</v>
      </c>
      <c r="B450" t="s">
        <v>983</v>
      </c>
    </row>
    <row r="451" spans="1:2" x14ac:dyDescent="0.35">
      <c r="A451" s="20" t="s">
        <v>462</v>
      </c>
      <c r="B451" t="s">
        <v>720</v>
      </c>
    </row>
    <row r="452" spans="1:2" x14ac:dyDescent="0.35">
      <c r="A452" s="19" t="s">
        <v>463</v>
      </c>
      <c r="B452" t="s">
        <v>984</v>
      </c>
    </row>
    <row r="453" spans="1:2" x14ac:dyDescent="0.35">
      <c r="A453" s="20" t="s">
        <v>463</v>
      </c>
      <c r="B453" t="s">
        <v>985</v>
      </c>
    </row>
    <row r="454" spans="1:2" x14ac:dyDescent="0.35">
      <c r="A454" s="19" t="s">
        <v>463</v>
      </c>
      <c r="B454" t="s">
        <v>986</v>
      </c>
    </row>
    <row r="455" spans="1:2" x14ac:dyDescent="0.35">
      <c r="A455" s="20" t="s">
        <v>463</v>
      </c>
      <c r="B455" t="s">
        <v>685</v>
      </c>
    </row>
    <row r="456" spans="1:2" x14ac:dyDescent="0.35">
      <c r="A456" s="15" t="s">
        <v>463</v>
      </c>
      <c r="B456" t="s">
        <v>987</v>
      </c>
    </row>
    <row r="457" spans="1:2" x14ac:dyDescent="0.35">
      <c r="A457" s="19" t="s">
        <v>463</v>
      </c>
      <c r="B457" t="s">
        <v>988</v>
      </c>
    </row>
    <row r="458" spans="1:2" x14ac:dyDescent="0.35">
      <c r="A458" s="15" t="s">
        <v>464</v>
      </c>
      <c r="B458" t="s">
        <v>989</v>
      </c>
    </row>
    <row r="459" spans="1:2" x14ac:dyDescent="0.35">
      <c r="A459" s="19" t="s">
        <v>464</v>
      </c>
      <c r="B459" t="s">
        <v>990</v>
      </c>
    </row>
    <row r="460" spans="1:2" x14ac:dyDescent="0.35">
      <c r="A460" s="15" t="s">
        <v>464</v>
      </c>
      <c r="B460" t="s">
        <v>720</v>
      </c>
    </row>
    <row r="461" spans="1:2" x14ac:dyDescent="0.35">
      <c r="A461" s="19" t="s">
        <v>464</v>
      </c>
      <c r="B461" t="s">
        <v>991</v>
      </c>
    </row>
    <row r="462" spans="1:2" x14ac:dyDescent="0.35">
      <c r="A462" s="19" t="s">
        <v>464</v>
      </c>
      <c r="B462" t="s">
        <v>645</v>
      </c>
    </row>
    <row r="463" spans="1:2" x14ac:dyDescent="0.35">
      <c r="A463" s="20" t="s">
        <v>465</v>
      </c>
      <c r="B463" t="s">
        <v>992</v>
      </c>
    </row>
    <row r="464" spans="1:2" x14ac:dyDescent="0.35">
      <c r="A464" s="15" t="s">
        <v>465</v>
      </c>
      <c r="B464" t="s">
        <v>993</v>
      </c>
    </row>
    <row r="465" spans="1:2" x14ac:dyDescent="0.35">
      <c r="A465" s="19" t="s">
        <v>465</v>
      </c>
      <c r="B465" t="s">
        <v>711</v>
      </c>
    </row>
    <row r="466" spans="1:2" x14ac:dyDescent="0.35">
      <c r="A466" s="19" t="s">
        <v>465</v>
      </c>
      <c r="B466" t="s">
        <v>701</v>
      </c>
    </row>
    <row r="467" spans="1:2" x14ac:dyDescent="0.35">
      <c r="A467" s="20" t="s">
        <v>465</v>
      </c>
      <c r="B467" t="s">
        <v>714</v>
      </c>
    </row>
    <row r="468" spans="1:2" x14ac:dyDescent="0.35">
      <c r="A468" s="19" t="s">
        <v>466</v>
      </c>
      <c r="B468" t="s">
        <v>994</v>
      </c>
    </row>
    <row r="469" spans="1:2" x14ac:dyDescent="0.35">
      <c r="A469" s="20" t="s">
        <v>466</v>
      </c>
      <c r="B469" t="s">
        <v>995</v>
      </c>
    </row>
    <row r="470" spans="1:2" x14ac:dyDescent="0.35">
      <c r="A470" s="19" t="s">
        <v>466</v>
      </c>
      <c r="B470" t="s">
        <v>996</v>
      </c>
    </row>
    <row r="471" spans="1:2" x14ac:dyDescent="0.35">
      <c r="A471" s="20" t="s">
        <v>467</v>
      </c>
      <c r="B471" t="s">
        <v>862</v>
      </c>
    </row>
    <row r="472" spans="1:2" x14ac:dyDescent="0.35">
      <c r="A472" s="19" t="s">
        <v>467</v>
      </c>
      <c r="B472" t="s">
        <v>997</v>
      </c>
    </row>
    <row r="473" spans="1:2" x14ac:dyDescent="0.35">
      <c r="A473" s="19" t="s">
        <v>467</v>
      </c>
      <c r="B473" t="s">
        <v>998</v>
      </c>
    </row>
    <row r="474" spans="1:2" x14ac:dyDescent="0.35">
      <c r="A474" s="15" t="s">
        <v>467</v>
      </c>
      <c r="B474" t="s">
        <v>999</v>
      </c>
    </row>
    <row r="475" spans="1:2" x14ac:dyDescent="0.35">
      <c r="A475" s="20" t="s">
        <v>467</v>
      </c>
      <c r="B475" t="s">
        <v>1000</v>
      </c>
    </row>
    <row r="476" spans="1:2" x14ac:dyDescent="0.35">
      <c r="A476" s="19" t="s">
        <v>468</v>
      </c>
      <c r="B476" t="s">
        <v>1001</v>
      </c>
    </row>
    <row r="477" spans="1:2" x14ac:dyDescent="0.35">
      <c r="A477" s="20" t="s">
        <v>468</v>
      </c>
      <c r="B477" t="s">
        <v>1002</v>
      </c>
    </row>
    <row r="478" spans="1:2" x14ac:dyDescent="0.35">
      <c r="A478" s="15" t="s">
        <v>468</v>
      </c>
      <c r="B478" t="s">
        <v>1003</v>
      </c>
    </row>
    <row r="479" spans="1:2" x14ac:dyDescent="0.35">
      <c r="A479" s="19" t="s">
        <v>468</v>
      </c>
      <c r="B479" t="s">
        <v>1004</v>
      </c>
    </row>
    <row r="480" spans="1:2" x14ac:dyDescent="0.35">
      <c r="A480" s="19" t="s">
        <v>469</v>
      </c>
      <c r="B480" t="s">
        <v>1005</v>
      </c>
    </row>
    <row r="481" spans="1:2" x14ac:dyDescent="0.35">
      <c r="A481" s="20" t="s">
        <v>469</v>
      </c>
      <c r="B481" t="s">
        <v>1006</v>
      </c>
    </row>
    <row r="482" spans="1:2" x14ac:dyDescent="0.35">
      <c r="A482" s="19" t="s">
        <v>469</v>
      </c>
      <c r="B482" t="s">
        <v>809</v>
      </c>
    </row>
    <row r="483" spans="1:2" x14ac:dyDescent="0.35">
      <c r="A483" s="19" t="s">
        <v>470</v>
      </c>
      <c r="B483" t="s">
        <v>1007</v>
      </c>
    </row>
    <row r="484" spans="1:2" x14ac:dyDescent="0.35">
      <c r="A484" s="15" t="s">
        <v>470</v>
      </c>
      <c r="B484" t="s">
        <v>678</v>
      </c>
    </row>
    <row r="485" spans="1:2" x14ac:dyDescent="0.35">
      <c r="A485" s="19" t="s">
        <v>471</v>
      </c>
      <c r="B485" t="s">
        <v>691</v>
      </c>
    </row>
    <row r="486" spans="1:2" x14ac:dyDescent="0.35">
      <c r="A486" s="19" t="s">
        <v>471</v>
      </c>
      <c r="B486" t="s">
        <v>727</v>
      </c>
    </row>
    <row r="487" spans="1:2" x14ac:dyDescent="0.35">
      <c r="A487" s="20" t="s">
        <v>471</v>
      </c>
      <c r="B487" t="s">
        <v>1008</v>
      </c>
    </row>
    <row r="488" spans="1:2" x14ac:dyDescent="0.35">
      <c r="A488" s="15" t="s">
        <v>471</v>
      </c>
      <c r="B488" t="s">
        <v>1009</v>
      </c>
    </row>
    <row r="489" spans="1:2" x14ac:dyDescent="0.35">
      <c r="A489" s="19" t="s">
        <v>472</v>
      </c>
      <c r="B489" t="s">
        <v>1010</v>
      </c>
    </row>
    <row r="490" spans="1:2" x14ac:dyDescent="0.35">
      <c r="A490" s="15" t="s">
        <v>472</v>
      </c>
      <c r="B490" t="s">
        <v>1011</v>
      </c>
    </row>
    <row r="491" spans="1:2" x14ac:dyDescent="0.35">
      <c r="A491" s="20" t="s">
        <v>472</v>
      </c>
      <c r="B491" t="s">
        <v>720</v>
      </c>
    </row>
    <row r="492" spans="1:2" x14ac:dyDescent="0.35">
      <c r="A492" s="19" t="s">
        <v>472</v>
      </c>
      <c r="B492" t="s">
        <v>1012</v>
      </c>
    </row>
    <row r="493" spans="1:2" x14ac:dyDescent="0.35">
      <c r="A493" s="19" t="s">
        <v>472</v>
      </c>
      <c r="B493" t="s">
        <v>1013</v>
      </c>
    </row>
    <row r="494" spans="1:2" x14ac:dyDescent="0.35">
      <c r="A494" s="15" t="s">
        <v>472</v>
      </c>
      <c r="B494" t="s">
        <v>1014</v>
      </c>
    </row>
    <row r="495" spans="1:2" x14ac:dyDescent="0.35">
      <c r="A495" s="20" t="s">
        <v>472</v>
      </c>
      <c r="B495" t="s">
        <v>1015</v>
      </c>
    </row>
    <row r="496" spans="1:2" x14ac:dyDescent="0.35">
      <c r="A496" s="19" t="s">
        <v>472</v>
      </c>
      <c r="B496" t="s">
        <v>957</v>
      </c>
    </row>
    <row r="497" spans="1:2" x14ac:dyDescent="0.35">
      <c r="A497" s="19" t="s">
        <v>473</v>
      </c>
      <c r="B497" t="s">
        <v>1016</v>
      </c>
    </row>
    <row r="498" spans="1:2" x14ac:dyDescent="0.35">
      <c r="A498" s="15" t="s">
        <v>473</v>
      </c>
      <c r="B498" t="s">
        <v>695</v>
      </c>
    </row>
    <row r="499" spans="1:2" x14ac:dyDescent="0.35">
      <c r="A499" s="20" t="s">
        <v>474</v>
      </c>
      <c r="B499" t="s">
        <v>685</v>
      </c>
    </row>
    <row r="500" spans="1:2" x14ac:dyDescent="0.35">
      <c r="A500" s="15" t="s">
        <v>474</v>
      </c>
      <c r="B500" t="s">
        <v>694</v>
      </c>
    </row>
    <row r="501" spans="1:2" x14ac:dyDescent="0.35">
      <c r="A501" s="22" t="s">
        <v>474</v>
      </c>
      <c r="B501" t="s">
        <v>1017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F2FBD-CBF6-4195-86E6-77BA3DE52AB8}">
  <dimension ref="A1:D501"/>
  <sheetViews>
    <sheetView tabSelected="1" topLeftCell="A13" workbookViewId="0">
      <selection sqref="A1:A1048576"/>
    </sheetView>
  </sheetViews>
  <sheetFormatPr defaultRowHeight="14.5" x14ac:dyDescent="0.35"/>
  <cols>
    <col min="1" max="1" width="12.36328125" bestFit="1" customWidth="1"/>
    <col min="2" max="2" width="16.6328125" style="1" customWidth="1"/>
    <col min="3" max="3" width="33.453125" bestFit="1" customWidth="1"/>
    <col min="4" max="4" width="41.54296875" style="10" bestFit="1" customWidth="1"/>
  </cols>
  <sheetData>
    <row r="1" spans="1:4" x14ac:dyDescent="0.35">
      <c r="A1" s="2" t="s">
        <v>363</v>
      </c>
      <c r="B1" s="3" t="s">
        <v>366</v>
      </c>
      <c r="C1" s="2" t="s">
        <v>368</v>
      </c>
      <c r="D1" s="2" t="s">
        <v>523</v>
      </c>
    </row>
    <row r="2" spans="1:4" x14ac:dyDescent="0.35">
      <c r="A2" s="4">
        <v>45717</v>
      </c>
      <c r="B2" s="5">
        <v>826</v>
      </c>
      <c r="C2" s="5">
        <v>20079930</v>
      </c>
      <c r="D2" s="11">
        <v>0.08</v>
      </c>
    </row>
    <row r="3" spans="1:4" x14ac:dyDescent="0.35">
      <c r="A3" s="4">
        <v>44197</v>
      </c>
      <c r="B3" s="5">
        <v>528</v>
      </c>
      <c r="C3" s="5">
        <v>96099030</v>
      </c>
      <c r="D3" s="11">
        <v>7.63</v>
      </c>
    </row>
    <row r="4" spans="1:4" x14ac:dyDescent="0.35">
      <c r="A4" s="4">
        <v>42979</v>
      </c>
      <c r="B4" s="5">
        <v>756</v>
      </c>
      <c r="C4" s="5">
        <v>30049079</v>
      </c>
      <c r="D4" s="11">
        <v>4.99</v>
      </c>
    </row>
    <row r="5" spans="1:4" x14ac:dyDescent="0.35">
      <c r="A5" s="4">
        <v>44348</v>
      </c>
      <c r="B5" s="5">
        <v>348</v>
      </c>
      <c r="C5" s="5">
        <v>82079090</v>
      </c>
      <c r="D5" s="11">
        <v>2.35</v>
      </c>
    </row>
    <row r="6" spans="1:4" x14ac:dyDescent="0.35">
      <c r="A6" s="4">
        <v>42309</v>
      </c>
      <c r="B6" s="5">
        <v>643</v>
      </c>
      <c r="C6" s="5">
        <v>13021918</v>
      </c>
      <c r="D6" s="11">
        <v>36.17</v>
      </c>
    </row>
    <row r="7" spans="1:4" x14ac:dyDescent="0.35">
      <c r="A7" s="4">
        <v>43313</v>
      </c>
      <c r="B7" s="5">
        <v>250</v>
      </c>
      <c r="C7" s="5">
        <v>54075240</v>
      </c>
      <c r="D7" s="11">
        <v>4.54</v>
      </c>
    </row>
    <row r="8" spans="1:4" x14ac:dyDescent="0.35">
      <c r="A8" s="4">
        <v>43983</v>
      </c>
      <c r="B8" s="5">
        <v>620</v>
      </c>
      <c r="C8" s="5">
        <v>42022190</v>
      </c>
      <c r="D8" s="11">
        <v>1.42</v>
      </c>
    </row>
    <row r="9" spans="1:4" x14ac:dyDescent="0.35">
      <c r="A9" s="4">
        <v>45474</v>
      </c>
      <c r="B9" s="5">
        <v>380</v>
      </c>
      <c r="C9" s="5">
        <v>29362800</v>
      </c>
      <c r="D9" s="11">
        <v>0.01</v>
      </c>
    </row>
    <row r="10" spans="1:4" x14ac:dyDescent="0.35">
      <c r="A10" s="4">
        <v>43952</v>
      </c>
      <c r="B10" s="5">
        <v>688</v>
      </c>
      <c r="C10" s="5">
        <v>12074090</v>
      </c>
      <c r="D10" s="11">
        <v>66.930000000000007</v>
      </c>
    </row>
    <row r="11" spans="1:4" x14ac:dyDescent="0.35">
      <c r="A11" s="4">
        <v>43221</v>
      </c>
      <c r="B11" s="5">
        <v>826</v>
      </c>
      <c r="C11" s="5">
        <v>57029210</v>
      </c>
      <c r="D11" s="11">
        <v>0.21</v>
      </c>
    </row>
    <row r="12" spans="1:4" x14ac:dyDescent="0.35">
      <c r="A12" s="4">
        <v>44470</v>
      </c>
      <c r="B12" s="5">
        <v>191</v>
      </c>
      <c r="C12" s="5">
        <v>84663010</v>
      </c>
      <c r="D12" s="11">
        <v>50.31</v>
      </c>
    </row>
    <row r="13" spans="1:4" x14ac:dyDescent="0.35">
      <c r="A13" s="4">
        <v>45383</v>
      </c>
      <c r="B13" s="5">
        <v>112</v>
      </c>
      <c r="C13" s="5">
        <v>82022000</v>
      </c>
      <c r="D13" s="11">
        <v>0.03</v>
      </c>
    </row>
    <row r="14" spans="1:4" x14ac:dyDescent="0.35">
      <c r="A14" s="4">
        <v>42736</v>
      </c>
      <c r="B14" s="5">
        <v>528</v>
      </c>
      <c r="C14" s="5">
        <v>40169100</v>
      </c>
      <c r="D14" s="11">
        <v>190.08</v>
      </c>
    </row>
    <row r="15" spans="1:4" x14ac:dyDescent="0.35">
      <c r="A15" s="4">
        <v>43983</v>
      </c>
      <c r="B15" s="5">
        <v>440</v>
      </c>
      <c r="C15" s="5">
        <v>57021000</v>
      </c>
      <c r="D15" s="11">
        <v>0.01</v>
      </c>
    </row>
    <row r="16" spans="1:4" x14ac:dyDescent="0.35">
      <c r="A16" s="4">
        <v>43252</v>
      </c>
      <c r="B16" s="5">
        <v>703</v>
      </c>
      <c r="C16" s="5">
        <v>87082900</v>
      </c>
      <c r="D16" s="11">
        <v>3.22</v>
      </c>
    </row>
    <row r="17" spans="1:4" x14ac:dyDescent="0.35">
      <c r="A17" s="4">
        <v>45748</v>
      </c>
      <c r="B17" s="5">
        <v>642</v>
      </c>
      <c r="C17" s="5">
        <v>39173100</v>
      </c>
      <c r="D17" s="11">
        <v>0.62</v>
      </c>
    </row>
    <row r="18" spans="1:4" x14ac:dyDescent="0.35">
      <c r="A18" s="4">
        <v>42125</v>
      </c>
      <c r="B18" s="5">
        <v>642</v>
      </c>
      <c r="C18" s="5">
        <v>76169990</v>
      </c>
      <c r="D18" s="11">
        <v>32.99</v>
      </c>
    </row>
    <row r="19" spans="1:4" x14ac:dyDescent="0.35">
      <c r="A19" s="4">
        <v>42979</v>
      </c>
      <c r="B19" s="5">
        <v>56</v>
      </c>
      <c r="C19" s="5">
        <v>28332100</v>
      </c>
      <c r="D19" s="11">
        <v>8.0500000000000007</v>
      </c>
    </row>
    <row r="20" spans="1:4" x14ac:dyDescent="0.35">
      <c r="A20" s="4">
        <v>45566</v>
      </c>
      <c r="B20" s="5">
        <v>643</v>
      </c>
      <c r="C20" s="5">
        <v>84139190</v>
      </c>
      <c r="D20" s="11">
        <v>0.24</v>
      </c>
    </row>
    <row r="21" spans="1:4" x14ac:dyDescent="0.35">
      <c r="A21" s="4">
        <v>42005</v>
      </c>
      <c r="B21" s="5">
        <v>250</v>
      </c>
      <c r="C21" s="5">
        <v>84189900</v>
      </c>
      <c r="D21" s="11">
        <v>19.2</v>
      </c>
    </row>
    <row r="22" spans="1:4" x14ac:dyDescent="0.35">
      <c r="A22" s="4">
        <v>45597</v>
      </c>
      <c r="B22" s="5">
        <v>246</v>
      </c>
      <c r="C22" s="5">
        <v>61012000</v>
      </c>
      <c r="D22" s="11">
        <v>0</v>
      </c>
    </row>
    <row r="23" spans="1:4" x14ac:dyDescent="0.35">
      <c r="A23" s="4">
        <v>44501</v>
      </c>
      <c r="B23" s="5">
        <v>643</v>
      </c>
      <c r="C23" s="5">
        <v>84609090</v>
      </c>
      <c r="D23" s="11">
        <v>0.05</v>
      </c>
    </row>
    <row r="24" spans="1:4" x14ac:dyDescent="0.35">
      <c r="A24" s="4">
        <v>43009</v>
      </c>
      <c r="B24" s="5">
        <v>380</v>
      </c>
      <c r="C24" s="5">
        <v>42031010</v>
      </c>
      <c r="D24" s="11">
        <v>1597.39</v>
      </c>
    </row>
    <row r="25" spans="1:4" x14ac:dyDescent="0.35">
      <c r="A25" s="4">
        <v>43770</v>
      </c>
      <c r="B25" s="5">
        <v>616</v>
      </c>
      <c r="C25" s="5">
        <v>84862000</v>
      </c>
      <c r="D25" s="11">
        <v>1.04</v>
      </c>
    </row>
    <row r="26" spans="1:4" x14ac:dyDescent="0.35">
      <c r="A26" s="4">
        <v>45536</v>
      </c>
      <c r="B26" s="5">
        <v>250</v>
      </c>
      <c r="C26" s="5">
        <v>87141010</v>
      </c>
      <c r="D26" s="11">
        <v>0</v>
      </c>
    </row>
    <row r="27" spans="1:4" x14ac:dyDescent="0.35">
      <c r="A27" s="4">
        <v>43221</v>
      </c>
      <c r="B27" s="5">
        <v>56</v>
      </c>
      <c r="C27" s="5">
        <v>61109000</v>
      </c>
      <c r="D27" s="11">
        <v>17.309999999999999</v>
      </c>
    </row>
    <row r="28" spans="1:4" x14ac:dyDescent="0.35">
      <c r="A28" s="4">
        <v>42826</v>
      </c>
      <c r="B28" s="5">
        <v>826</v>
      </c>
      <c r="C28" s="5">
        <v>8011990</v>
      </c>
      <c r="D28" s="11">
        <v>84.35</v>
      </c>
    </row>
    <row r="29" spans="1:4" x14ac:dyDescent="0.35">
      <c r="A29" s="4">
        <v>45627</v>
      </c>
      <c r="B29" s="5">
        <v>380</v>
      </c>
      <c r="C29" s="5">
        <v>70134900</v>
      </c>
      <c r="D29" s="11">
        <v>0.02</v>
      </c>
    </row>
    <row r="30" spans="1:4" x14ac:dyDescent="0.35">
      <c r="A30" s="4">
        <v>43252</v>
      </c>
      <c r="B30" s="5">
        <v>380</v>
      </c>
      <c r="C30" s="5">
        <v>40091100</v>
      </c>
      <c r="D30" s="11">
        <v>26.5</v>
      </c>
    </row>
    <row r="31" spans="1:4" x14ac:dyDescent="0.35">
      <c r="A31" s="4">
        <v>42644</v>
      </c>
      <c r="B31" s="5">
        <v>276</v>
      </c>
      <c r="C31" s="5">
        <v>84137099</v>
      </c>
      <c r="D31" s="11">
        <v>0.04</v>
      </c>
    </row>
    <row r="32" spans="1:4" x14ac:dyDescent="0.35">
      <c r="A32" s="4">
        <v>42887</v>
      </c>
      <c r="B32" s="5">
        <v>276</v>
      </c>
      <c r="C32" s="5">
        <v>61034100</v>
      </c>
      <c r="D32" s="11">
        <v>6.28</v>
      </c>
    </row>
    <row r="33" spans="1:4" x14ac:dyDescent="0.35">
      <c r="A33" s="4">
        <v>45536</v>
      </c>
      <c r="B33" s="5">
        <v>528</v>
      </c>
      <c r="C33" s="5">
        <v>22021010</v>
      </c>
      <c r="D33" s="11">
        <v>7.0000000000000007E-2</v>
      </c>
    </row>
    <row r="34" spans="1:4" x14ac:dyDescent="0.35">
      <c r="A34" s="4">
        <v>43800</v>
      </c>
      <c r="B34" s="5">
        <v>724</v>
      </c>
      <c r="C34" s="5">
        <v>39211200</v>
      </c>
      <c r="D34" s="11">
        <v>23.33</v>
      </c>
    </row>
    <row r="35" spans="1:4" x14ac:dyDescent="0.35">
      <c r="A35" s="4">
        <v>45809</v>
      </c>
      <c r="B35" s="5">
        <v>752</v>
      </c>
      <c r="C35" s="5">
        <v>79070090</v>
      </c>
      <c r="D35" s="11">
        <v>1.0900000000000001</v>
      </c>
    </row>
    <row r="36" spans="1:4" x14ac:dyDescent="0.35">
      <c r="A36" s="4">
        <v>44348</v>
      </c>
      <c r="B36" s="5">
        <v>470</v>
      </c>
      <c r="C36" s="5">
        <v>90183990</v>
      </c>
      <c r="D36" s="11">
        <v>20.47</v>
      </c>
    </row>
    <row r="37" spans="1:4" x14ac:dyDescent="0.35">
      <c r="A37" s="4">
        <v>43040</v>
      </c>
      <c r="B37" s="5">
        <v>528</v>
      </c>
      <c r="C37" s="5">
        <v>84839000</v>
      </c>
      <c r="D37" s="11">
        <v>116.54</v>
      </c>
    </row>
    <row r="38" spans="1:4" x14ac:dyDescent="0.35">
      <c r="A38" s="4">
        <v>43891</v>
      </c>
      <c r="B38" s="5">
        <v>380</v>
      </c>
      <c r="C38" s="5">
        <v>32041976</v>
      </c>
      <c r="D38" s="11">
        <v>372.68</v>
      </c>
    </row>
    <row r="39" spans="1:4" x14ac:dyDescent="0.35">
      <c r="A39" s="4">
        <v>44317</v>
      </c>
      <c r="B39" s="5">
        <v>380</v>
      </c>
      <c r="C39" s="5">
        <v>39172990</v>
      </c>
      <c r="D39" s="11">
        <v>305.04000000000002</v>
      </c>
    </row>
    <row r="40" spans="1:4" x14ac:dyDescent="0.35">
      <c r="A40" s="4">
        <v>44105</v>
      </c>
      <c r="B40" s="5">
        <v>380</v>
      </c>
      <c r="C40" s="5">
        <v>73209010</v>
      </c>
      <c r="D40" s="11">
        <v>12.02</v>
      </c>
    </row>
    <row r="41" spans="1:4" x14ac:dyDescent="0.35">
      <c r="A41" s="4">
        <v>44317</v>
      </c>
      <c r="B41" s="5">
        <v>752</v>
      </c>
      <c r="C41" s="5">
        <v>39235010</v>
      </c>
      <c r="D41" s="11">
        <v>18.61</v>
      </c>
    </row>
    <row r="42" spans="1:4" x14ac:dyDescent="0.35">
      <c r="A42" s="4">
        <v>43647</v>
      </c>
      <c r="B42" s="5">
        <v>724</v>
      </c>
      <c r="C42" s="5">
        <v>32064100</v>
      </c>
      <c r="D42" s="11">
        <v>113.34</v>
      </c>
    </row>
    <row r="43" spans="1:4" x14ac:dyDescent="0.35">
      <c r="A43" s="4">
        <v>45444</v>
      </c>
      <c r="B43" s="5">
        <v>380</v>
      </c>
      <c r="C43" s="5">
        <v>29225090</v>
      </c>
      <c r="D43" s="11">
        <v>0.98</v>
      </c>
    </row>
    <row r="44" spans="1:4" x14ac:dyDescent="0.35">
      <c r="A44" s="4">
        <v>44287</v>
      </c>
      <c r="B44" s="5">
        <v>826</v>
      </c>
      <c r="C44" s="5">
        <v>63041100</v>
      </c>
      <c r="D44" s="11">
        <v>21.74</v>
      </c>
    </row>
    <row r="45" spans="1:4" x14ac:dyDescent="0.35">
      <c r="A45" s="4">
        <v>43678</v>
      </c>
      <c r="B45" s="5">
        <v>756</v>
      </c>
      <c r="C45" s="5">
        <v>61046300</v>
      </c>
      <c r="D45" s="11">
        <v>0.7</v>
      </c>
    </row>
    <row r="46" spans="1:4" x14ac:dyDescent="0.35">
      <c r="A46" s="4">
        <v>45717</v>
      </c>
      <c r="B46" s="5">
        <v>250</v>
      </c>
      <c r="C46" s="5">
        <v>63041940</v>
      </c>
      <c r="D46" s="11">
        <v>0.25</v>
      </c>
    </row>
    <row r="47" spans="1:4" x14ac:dyDescent="0.35">
      <c r="A47" s="4">
        <v>45413</v>
      </c>
      <c r="B47" s="5">
        <v>578</v>
      </c>
      <c r="C47" s="5">
        <v>8109030</v>
      </c>
      <c r="D47" s="11">
        <v>0</v>
      </c>
    </row>
    <row r="48" spans="1:4" x14ac:dyDescent="0.35">
      <c r="A48" s="4">
        <v>45748</v>
      </c>
      <c r="B48" s="5">
        <v>208</v>
      </c>
      <c r="C48" s="5">
        <v>62044210</v>
      </c>
      <c r="D48" s="11">
        <v>0.14000000000000001</v>
      </c>
    </row>
    <row r="49" spans="1:4" x14ac:dyDescent="0.35">
      <c r="A49" s="4">
        <v>45717</v>
      </c>
      <c r="B49" s="5">
        <v>528</v>
      </c>
      <c r="C49" s="5">
        <v>73072200</v>
      </c>
      <c r="D49" s="11">
        <v>0.05</v>
      </c>
    </row>
    <row r="50" spans="1:4" x14ac:dyDescent="0.35">
      <c r="A50" s="4">
        <v>44287</v>
      </c>
      <c r="B50" s="5">
        <v>276</v>
      </c>
      <c r="C50" s="5">
        <v>82029110</v>
      </c>
      <c r="D50" s="11">
        <v>0.56999999999999995</v>
      </c>
    </row>
    <row r="51" spans="1:4" x14ac:dyDescent="0.35">
      <c r="A51" s="4">
        <v>43374</v>
      </c>
      <c r="B51" s="5">
        <v>250</v>
      </c>
      <c r="C51" s="5">
        <v>73030030</v>
      </c>
      <c r="D51" s="11">
        <v>861.49</v>
      </c>
    </row>
    <row r="52" spans="1:4" x14ac:dyDescent="0.35">
      <c r="A52" s="4">
        <v>43617</v>
      </c>
      <c r="B52" s="5">
        <v>246</v>
      </c>
      <c r="C52" s="5">
        <v>84741090</v>
      </c>
      <c r="D52" s="11">
        <v>94.23</v>
      </c>
    </row>
    <row r="53" spans="1:4" x14ac:dyDescent="0.35">
      <c r="A53" s="4">
        <v>42036</v>
      </c>
      <c r="B53" s="5">
        <v>440</v>
      </c>
      <c r="C53" s="5">
        <v>34011190</v>
      </c>
      <c r="D53" s="11">
        <v>27.16</v>
      </c>
    </row>
    <row r="54" spans="1:4" x14ac:dyDescent="0.35">
      <c r="A54" s="4">
        <v>44409</v>
      </c>
      <c r="B54" s="5">
        <v>578</v>
      </c>
      <c r="C54" s="5">
        <v>85143090</v>
      </c>
      <c r="D54" s="11">
        <v>2.93</v>
      </c>
    </row>
    <row r="55" spans="1:4" x14ac:dyDescent="0.35">
      <c r="A55" s="4">
        <v>45505</v>
      </c>
      <c r="B55" s="5">
        <v>276</v>
      </c>
      <c r="C55" s="5">
        <v>84671190</v>
      </c>
      <c r="D55" s="11">
        <v>0.04</v>
      </c>
    </row>
    <row r="56" spans="1:4" x14ac:dyDescent="0.35">
      <c r="A56" s="4">
        <v>42767</v>
      </c>
      <c r="B56" s="5">
        <v>804</v>
      </c>
      <c r="C56" s="5">
        <v>95072000</v>
      </c>
      <c r="D56" s="11">
        <v>0.87</v>
      </c>
    </row>
    <row r="57" spans="1:4" x14ac:dyDescent="0.35">
      <c r="A57" s="4">
        <v>42583</v>
      </c>
      <c r="B57" s="5">
        <v>276</v>
      </c>
      <c r="C57" s="5">
        <v>84818090</v>
      </c>
      <c r="D57" s="11">
        <v>304.26</v>
      </c>
    </row>
    <row r="58" spans="1:4" x14ac:dyDescent="0.35">
      <c r="A58" s="4">
        <v>43497</v>
      </c>
      <c r="B58" s="5">
        <v>40</v>
      </c>
      <c r="C58" s="5">
        <v>64035111</v>
      </c>
      <c r="D58" s="11">
        <v>0.09</v>
      </c>
    </row>
    <row r="59" spans="1:4" x14ac:dyDescent="0.35">
      <c r="A59" s="4">
        <v>43800</v>
      </c>
      <c r="B59" s="5">
        <v>643</v>
      </c>
      <c r="C59" s="5">
        <v>90321090</v>
      </c>
      <c r="D59" s="11">
        <v>11.66</v>
      </c>
    </row>
    <row r="60" spans="1:4" x14ac:dyDescent="0.35">
      <c r="A60" s="4">
        <v>42887</v>
      </c>
      <c r="B60" s="5">
        <v>40</v>
      </c>
      <c r="C60" s="5">
        <v>34060010</v>
      </c>
      <c r="D60" s="11">
        <v>0.02</v>
      </c>
    </row>
    <row r="61" spans="1:4" x14ac:dyDescent="0.35">
      <c r="A61" s="4">
        <v>45474</v>
      </c>
      <c r="B61" s="5">
        <v>643</v>
      </c>
      <c r="C61" s="5">
        <v>40103290</v>
      </c>
      <c r="D61" s="11">
        <v>0.01</v>
      </c>
    </row>
    <row r="62" spans="1:4" x14ac:dyDescent="0.35">
      <c r="A62" s="4">
        <v>45474</v>
      </c>
      <c r="B62" s="5">
        <v>380</v>
      </c>
      <c r="C62" s="5">
        <v>84389090</v>
      </c>
      <c r="D62" s="11">
        <v>1.51</v>
      </c>
    </row>
    <row r="63" spans="1:4" x14ac:dyDescent="0.35">
      <c r="A63" s="4">
        <v>45717</v>
      </c>
      <c r="B63" s="5">
        <v>380</v>
      </c>
      <c r="C63" s="5">
        <v>96099030</v>
      </c>
      <c r="D63" s="11">
        <v>0.19</v>
      </c>
    </row>
    <row r="64" spans="1:4" x14ac:dyDescent="0.35">
      <c r="A64" s="4">
        <v>43525</v>
      </c>
      <c r="B64" s="5">
        <v>643</v>
      </c>
      <c r="C64" s="5">
        <v>62114300</v>
      </c>
      <c r="D64" s="11">
        <v>277.70999999999998</v>
      </c>
    </row>
    <row r="65" spans="1:4" x14ac:dyDescent="0.35">
      <c r="A65" s="4">
        <v>43770</v>
      </c>
      <c r="B65" s="5">
        <v>724</v>
      </c>
      <c r="C65" s="5">
        <v>13019045</v>
      </c>
      <c r="D65" s="11">
        <v>538.19000000000005</v>
      </c>
    </row>
    <row r="66" spans="1:4" x14ac:dyDescent="0.35">
      <c r="A66" s="4">
        <v>45839</v>
      </c>
      <c r="B66" s="5">
        <v>276</v>
      </c>
      <c r="C66" s="5">
        <v>68029200</v>
      </c>
      <c r="D66" s="11">
        <v>0.01</v>
      </c>
    </row>
    <row r="67" spans="1:4" x14ac:dyDescent="0.35">
      <c r="A67" s="4">
        <v>45689</v>
      </c>
      <c r="B67" s="5">
        <v>643</v>
      </c>
      <c r="C67" s="5">
        <v>42031090</v>
      </c>
      <c r="D67" s="11">
        <v>1.42</v>
      </c>
    </row>
    <row r="68" spans="1:4" x14ac:dyDescent="0.35">
      <c r="A68" s="4">
        <v>43770</v>
      </c>
      <c r="B68" s="5">
        <v>688</v>
      </c>
      <c r="C68" s="5">
        <v>29372900</v>
      </c>
      <c r="D68" s="11">
        <v>186.41</v>
      </c>
    </row>
    <row r="69" spans="1:4" x14ac:dyDescent="0.35">
      <c r="A69" s="4">
        <v>42736</v>
      </c>
      <c r="B69" s="5">
        <v>643</v>
      </c>
      <c r="C69" s="5">
        <v>32041369</v>
      </c>
      <c r="D69" s="11">
        <v>43.27</v>
      </c>
    </row>
    <row r="70" spans="1:4" x14ac:dyDescent="0.35">
      <c r="A70" s="4">
        <v>43313</v>
      </c>
      <c r="B70" s="5">
        <v>276</v>
      </c>
      <c r="C70" s="5">
        <v>85169000</v>
      </c>
      <c r="D70" s="11">
        <v>40.94</v>
      </c>
    </row>
    <row r="71" spans="1:4" x14ac:dyDescent="0.35">
      <c r="A71" s="4">
        <v>45839</v>
      </c>
      <c r="B71" s="5">
        <v>208</v>
      </c>
      <c r="C71" s="5">
        <v>85272900</v>
      </c>
      <c r="D71" s="11">
        <v>0.01</v>
      </c>
    </row>
    <row r="72" spans="1:4" x14ac:dyDescent="0.35">
      <c r="A72" s="4">
        <v>43160</v>
      </c>
      <c r="B72" s="5">
        <v>380</v>
      </c>
      <c r="C72" s="5">
        <v>48191010</v>
      </c>
      <c r="D72" s="11">
        <v>4.26</v>
      </c>
    </row>
    <row r="73" spans="1:4" x14ac:dyDescent="0.35">
      <c r="A73" s="4">
        <v>43221</v>
      </c>
      <c r="B73" s="5">
        <v>276</v>
      </c>
      <c r="C73" s="5">
        <v>19059040</v>
      </c>
      <c r="D73" s="11">
        <v>61.97</v>
      </c>
    </row>
    <row r="74" spans="1:4" x14ac:dyDescent="0.35">
      <c r="A74" s="4">
        <v>42491</v>
      </c>
      <c r="B74" s="5">
        <v>191</v>
      </c>
      <c r="C74" s="5">
        <v>70172000</v>
      </c>
      <c r="D74" s="11">
        <v>19.36</v>
      </c>
    </row>
    <row r="75" spans="1:4" x14ac:dyDescent="0.35">
      <c r="A75" s="4">
        <v>45809</v>
      </c>
      <c r="B75" s="5">
        <v>440</v>
      </c>
      <c r="C75" s="5">
        <v>90189022</v>
      </c>
      <c r="D75" s="11">
        <v>0</v>
      </c>
    </row>
    <row r="76" spans="1:4" x14ac:dyDescent="0.35">
      <c r="A76" s="4">
        <v>42736</v>
      </c>
      <c r="B76" s="5">
        <v>724</v>
      </c>
      <c r="C76" s="5">
        <v>84212300</v>
      </c>
      <c r="D76" s="11">
        <v>1.43</v>
      </c>
    </row>
    <row r="77" spans="1:4" x14ac:dyDescent="0.35">
      <c r="A77" s="4">
        <v>44501</v>
      </c>
      <c r="B77" s="5">
        <v>724</v>
      </c>
      <c r="C77" s="5">
        <v>82075000</v>
      </c>
      <c r="D77" s="11">
        <v>9.64</v>
      </c>
    </row>
    <row r="78" spans="1:4" x14ac:dyDescent="0.35">
      <c r="A78" s="4">
        <v>42339</v>
      </c>
      <c r="B78" s="5">
        <v>804</v>
      </c>
      <c r="C78" s="5">
        <v>49111020</v>
      </c>
      <c r="D78" s="11">
        <v>0.01</v>
      </c>
    </row>
    <row r="79" spans="1:4" x14ac:dyDescent="0.35">
      <c r="A79" s="4">
        <v>44317</v>
      </c>
      <c r="B79" s="5">
        <v>705</v>
      </c>
      <c r="C79" s="5">
        <v>25261020</v>
      </c>
      <c r="D79" s="11">
        <v>314.14999999999998</v>
      </c>
    </row>
    <row r="80" spans="1:4" x14ac:dyDescent="0.35">
      <c r="A80" s="4">
        <v>43739</v>
      </c>
      <c r="B80" s="5">
        <v>703</v>
      </c>
      <c r="C80" s="5">
        <v>84669400</v>
      </c>
      <c r="D80" s="11">
        <v>0.3</v>
      </c>
    </row>
    <row r="81" spans="1:4" x14ac:dyDescent="0.35">
      <c r="A81" s="4">
        <v>42522</v>
      </c>
      <c r="B81" s="5">
        <v>826</v>
      </c>
      <c r="C81" s="5">
        <v>44182090</v>
      </c>
      <c r="D81" s="11">
        <v>6.44</v>
      </c>
    </row>
    <row r="82" spans="1:4" x14ac:dyDescent="0.35">
      <c r="A82" s="4">
        <v>43282</v>
      </c>
      <c r="B82" s="5">
        <v>250</v>
      </c>
      <c r="C82" s="5">
        <v>64061020</v>
      </c>
      <c r="D82" s="11">
        <v>1102.5999999999999</v>
      </c>
    </row>
    <row r="83" spans="1:4" x14ac:dyDescent="0.35">
      <c r="A83" s="4">
        <v>44501</v>
      </c>
      <c r="B83" s="5">
        <v>705</v>
      </c>
      <c r="C83" s="5">
        <v>72222012</v>
      </c>
      <c r="D83" s="11">
        <v>100.37</v>
      </c>
    </row>
    <row r="84" spans="1:4" x14ac:dyDescent="0.35">
      <c r="A84" s="4">
        <v>45597</v>
      </c>
      <c r="B84" s="5">
        <v>642</v>
      </c>
      <c r="C84" s="5">
        <v>29095090</v>
      </c>
      <c r="D84" s="11">
        <v>0.37</v>
      </c>
    </row>
    <row r="85" spans="1:4" x14ac:dyDescent="0.35">
      <c r="A85" s="4">
        <v>43709</v>
      </c>
      <c r="B85" s="5">
        <v>756</v>
      </c>
      <c r="C85" s="5">
        <v>73269099</v>
      </c>
      <c r="D85" s="11">
        <v>222.69</v>
      </c>
    </row>
    <row r="86" spans="1:4" x14ac:dyDescent="0.35">
      <c r="A86" s="4">
        <v>43617</v>
      </c>
      <c r="B86" s="5">
        <v>276</v>
      </c>
      <c r="C86" s="5">
        <v>62034200</v>
      </c>
      <c r="D86" s="11">
        <v>1259.55</v>
      </c>
    </row>
    <row r="87" spans="1:4" x14ac:dyDescent="0.35">
      <c r="A87" s="4">
        <v>43952</v>
      </c>
      <c r="B87" s="5">
        <v>528</v>
      </c>
      <c r="C87" s="5">
        <v>68042190</v>
      </c>
      <c r="D87" s="11">
        <v>126.91</v>
      </c>
    </row>
    <row r="88" spans="1:4" x14ac:dyDescent="0.35">
      <c r="A88" s="4">
        <v>43497</v>
      </c>
      <c r="B88" s="5">
        <v>276</v>
      </c>
      <c r="C88" s="5">
        <v>63053200</v>
      </c>
      <c r="D88" s="11">
        <v>3405.41</v>
      </c>
    </row>
    <row r="89" spans="1:4" x14ac:dyDescent="0.35">
      <c r="A89" s="4">
        <v>43466</v>
      </c>
      <c r="B89" s="5">
        <v>250</v>
      </c>
      <c r="C89" s="5">
        <v>29337900</v>
      </c>
      <c r="D89" s="11">
        <v>256.72000000000003</v>
      </c>
    </row>
    <row r="90" spans="1:4" x14ac:dyDescent="0.35">
      <c r="A90" s="4">
        <v>45383</v>
      </c>
      <c r="B90" s="5">
        <v>380</v>
      </c>
      <c r="C90" s="5">
        <v>84814000</v>
      </c>
      <c r="D90" s="11">
        <v>0.79</v>
      </c>
    </row>
    <row r="91" spans="1:4" x14ac:dyDescent="0.35">
      <c r="A91" s="4">
        <v>44013</v>
      </c>
      <c r="B91" s="5">
        <v>826</v>
      </c>
      <c r="C91" s="5">
        <v>58063990</v>
      </c>
      <c r="D91" s="11">
        <v>0.01</v>
      </c>
    </row>
    <row r="92" spans="1:4" x14ac:dyDescent="0.35">
      <c r="A92" s="4">
        <v>42125</v>
      </c>
      <c r="B92" s="5">
        <v>826</v>
      </c>
      <c r="C92" s="5">
        <v>29215990</v>
      </c>
      <c r="D92" s="11">
        <v>308.42</v>
      </c>
    </row>
    <row r="93" spans="1:4" x14ac:dyDescent="0.35">
      <c r="A93" s="4">
        <v>43252</v>
      </c>
      <c r="B93" s="5">
        <v>380</v>
      </c>
      <c r="C93" s="5">
        <v>91052900</v>
      </c>
      <c r="D93" s="11">
        <v>5.95</v>
      </c>
    </row>
    <row r="94" spans="1:4" x14ac:dyDescent="0.35">
      <c r="A94" s="4">
        <v>43770</v>
      </c>
      <c r="B94" s="5">
        <v>40</v>
      </c>
      <c r="C94" s="5">
        <v>33049990</v>
      </c>
      <c r="D94" s="11">
        <v>4.51</v>
      </c>
    </row>
    <row r="95" spans="1:4" x14ac:dyDescent="0.35">
      <c r="A95" s="4">
        <v>44409</v>
      </c>
      <c r="B95" s="5">
        <v>826</v>
      </c>
      <c r="C95" s="5">
        <v>61101120</v>
      </c>
      <c r="D95" s="11">
        <v>24.08</v>
      </c>
    </row>
    <row r="96" spans="1:4" x14ac:dyDescent="0.35">
      <c r="A96" s="4">
        <v>42522</v>
      </c>
      <c r="B96" s="5">
        <v>826</v>
      </c>
      <c r="C96" s="5">
        <v>85322990</v>
      </c>
      <c r="D96" s="11">
        <v>61.84</v>
      </c>
    </row>
    <row r="97" spans="1:4" x14ac:dyDescent="0.35">
      <c r="A97" s="4">
        <v>44105</v>
      </c>
      <c r="B97" s="5">
        <v>826</v>
      </c>
      <c r="C97" s="5">
        <v>61101120</v>
      </c>
      <c r="D97" s="11">
        <v>28.55</v>
      </c>
    </row>
    <row r="98" spans="1:4" x14ac:dyDescent="0.35">
      <c r="A98" s="4">
        <v>43191</v>
      </c>
      <c r="B98" s="5">
        <v>643</v>
      </c>
      <c r="C98" s="5">
        <v>73251000</v>
      </c>
      <c r="D98" s="11">
        <v>4.99</v>
      </c>
    </row>
    <row r="99" spans="1:4" x14ac:dyDescent="0.35">
      <c r="A99" s="4">
        <v>44531</v>
      </c>
      <c r="B99" s="5">
        <v>724</v>
      </c>
      <c r="C99" s="5">
        <v>32041488</v>
      </c>
      <c r="D99" s="11">
        <v>45.42</v>
      </c>
    </row>
    <row r="100" spans="1:4" x14ac:dyDescent="0.35">
      <c r="A100" s="4">
        <v>45597</v>
      </c>
      <c r="B100" s="5">
        <v>528</v>
      </c>
      <c r="C100" s="5">
        <v>19059040</v>
      </c>
      <c r="D100" s="11">
        <v>1.32</v>
      </c>
    </row>
    <row r="101" spans="1:4" x14ac:dyDescent="0.35">
      <c r="A101" s="4">
        <v>44166</v>
      </c>
      <c r="B101" s="5">
        <v>380</v>
      </c>
      <c r="C101" s="5">
        <v>7132020</v>
      </c>
      <c r="D101" s="11">
        <v>15.98</v>
      </c>
    </row>
    <row r="102" spans="1:4" x14ac:dyDescent="0.35">
      <c r="A102" s="4">
        <v>43862</v>
      </c>
      <c r="B102" s="5">
        <v>528</v>
      </c>
      <c r="C102" s="5">
        <v>61046300</v>
      </c>
      <c r="D102" s="11">
        <v>214.33</v>
      </c>
    </row>
    <row r="103" spans="1:4" x14ac:dyDescent="0.35">
      <c r="A103" s="4">
        <v>42979</v>
      </c>
      <c r="B103" s="5">
        <v>756</v>
      </c>
      <c r="C103" s="5">
        <v>21039040</v>
      </c>
      <c r="D103" s="11">
        <v>0.38</v>
      </c>
    </row>
    <row r="104" spans="1:4" x14ac:dyDescent="0.35">
      <c r="A104" s="4">
        <v>45809</v>
      </c>
      <c r="B104" s="5">
        <v>56</v>
      </c>
      <c r="C104" s="5">
        <v>90211000</v>
      </c>
      <c r="D104" s="11">
        <v>0.15</v>
      </c>
    </row>
    <row r="105" spans="1:4" x14ac:dyDescent="0.35">
      <c r="A105" s="4">
        <v>42248</v>
      </c>
      <c r="B105" s="5">
        <v>40</v>
      </c>
      <c r="C105" s="5">
        <v>85369010</v>
      </c>
      <c r="D105" s="11">
        <v>11.61</v>
      </c>
    </row>
    <row r="106" spans="1:4" x14ac:dyDescent="0.35">
      <c r="A106" s="4">
        <v>43983</v>
      </c>
      <c r="B106" s="5">
        <v>380</v>
      </c>
      <c r="C106" s="5">
        <v>85334090</v>
      </c>
      <c r="D106" s="11">
        <v>19.420000000000002</v>
      </c>
    </row>
    <row r="107" spans="1:4" x14ac:dyDescent="0.35">
      <c r="A107" s="4">
        <v>44378</v>
      </c>
      <c r="B107" s="5">
        <v>208</v>
      </c>
      <c r="C107" s="5">
        <v>61046990</v>
      </c>
      <c r="D107" s="11">
        <v>112.31</v>
      </c>
    </row>
    <row r="108" spans="1:4" x14ac:dyDescent="0.35">
      <c r="A108" s="4">
        <v>45627</v>
      </c>
      <c r="B108" s="5">
        <v>250</v>
      </c>
      <c r="C108" s="5">
        <v>85021340</v>
      </c>
      <c r="D108" s="11">
        <v>1.3</v>
      </c>
    </row>
    <row r="109" spans="1:4" x14ac:dyDescent="0.35">
      <c r="A109" s="4">
        <v>44378</v>
      </c>
      <c r="B109" s="5">
        <v>528</v>
      </c>
      <c r="C109" s="5">
        <v>21022000</v>
      </c>
      <c r="D109" s="11">
        <v>0.98</v>
      </c>
    </row>
    <row r="110" spans="1:4" x14ac:dyDescent="0.35">
      <c r="A110" s="4">
        <v>43952</v>
      </c>
      <c r="B110" s="5">
        <v>724</v>
      </c>
      <c r="C110" s="5">
        <v>29142950</v>
      </c>
      <c r="D110" s="11">
        <v>96.88</v>
      </c>
    </row>
    <row r="111" spans="1:4" x14ac:dyDescent="0.35">
      <c r="A111" s="4">
        <v>45778</v>
      </c>
      <c r="B111" s="5">
        <v>380</v>
      </c>
      <c r="C111" s="5">
        <v>19059090</v>
      </c>
      <c r="D111" s="11">
        <v>0.09</v>
      </c>
    </row>
    <row r="112" spans="1:4" x14ac:dyDescent="0.35">
      <c r="A112" s="4">
        <v>43313</v>
      </c>
      <c r="B112" s="5">
        <v>191</v>
      </c>
      <c r="C112" s="5">
        <v>84828000</v>
      </c>
      <c r="D112" s="11">
        <v>1.25</v>
      </c>
    </row>
    <row r="113" spans="1:4" x14ac:dyDescent="0.35">
      <c r="A113" s="4">
        <v>44044</v>
      </c>
      <c r="B113" s="5">
        <v>724</v>
      </c>
      <c r="C113" s="5">
        <v>29251900</v>
      </c>
      <c r="D113" s="11">
        <v>2</v>
      </c>
    </row>
    <row r="114" spans="1:4" x14ac:dyDescent="0.35">
      <c r="A114" s="4">
        <v>43800</v>
      </c>
      <c r="B114" s="5">
        <v>380</v>
      </c>
      <c r="C114" s="5">
        <v>21011120</v>
      </c>
      <c r="D114" s="11">
        <v>53.51</v>
      </c>
    </row>
    <row r="115" spans="1:4" x14ac:dyDescent="0.35">
      <c r="A115" s="4">
        <v>42887</v>
      </c>
      <c r="B115" s="5">
        <v>112</v>
      </c>
      <c r="C115" s="5">
        <v>9011143</v>
      </c>
      <c r="D115" s="11">
        <v>6.75</v>
      </c>
    </row>
    <row r="116" spans="1:4" x14ac:dyDescent="0.35">
      <c r="A116" s="4">
        <v>43009</v>
      </c>
      <c r="B116" s="5">
        <v>616</v>
      </c>
      <c r="C116" s="5">
        <v>84131191</v>
      </c>
      <c r="D116" s="11">
        <v>0.22</v>
      </c>
    </row>
    <row r="117" spans="1:4" x14ac:dyDescent="0.35">
      <c r="A117" s="4">
        <v>42614</v>
      </c>
      <c r="B117" s="5">
        <v>276</v>
      </c>
      <c r="C117" s="5">
        <v>90314900</v>
      </c>
      <c r="D117" s="11">
        <v>23.42</v>
      </c>
    </row>
    <row r="118" spans="1:4" x14ac:dyDescent="0.35">
      <c r="A118" s="4">
        <v>45505</v>
      </c>
      <c r="B118" s="5">
        <v>276</v>
      </c>
      <c r="C118" s="5">
        <v>38151100</v>
      </c>
      <c r="D118" s="11">
        <v>3.05</v>
      </c>
    </row>
    <row r="119" spans="1:4" x14ac:dyDescent="0.35">
      <c r="A119" s="4">
        <v>43374</v>
      </c>
      <c r="B119" s="5">
        <v>208</v>
      </c>
      <c r="C119" s="5">
        <v>25152090</v>
      </c>
      <c r="D119" s="11">
        <v>7.6</v>
      </c>
    </row>
    <row r="120" spans="1:4" x14ac:dyDescent="0.35">
      <c r="A120" s="4">
        <v>45444</v>
      </c>
      <c r="B120" s="5">
        <v>528</v>
      </c>
      <c r="C120" s="5">
        <v>29333929</v>
      </c>
      <c r="D120" s="11">
        <v>5.52</v>
      </c>
    </row>
    <row r="121" spans="1:4" x14ac:dyDescent="0.35">
      <c r="A121" s="4">
        <v>43101</v>
      </c>
      <c r="B121" s="5">
        <v>56</v>
      </c>
      <c r="C121" s="5">
        <v>30049044</v>
      </c>
      <c r="D121" s="11">
        <v>47.82</v>
      </c>
    </row>
    <row r="122" spans="1:4" x14ac:dyDescent="0.35">
      <c r="A122" s="4">
        <v>45627</v>
      </c>
      <c r="B122" s="5">
        <v>372</v>
      </c>
      <c r="C122" s="5">
        <v>84799040</v>
      </c>
      <c r="D122" s="11">
        <v>0</v>
      </c>
    </row>
    <row r="123" spans="1:4" x14ac:dyDescent="0.35">
      <c r="A123" s="4">
        <v>45689</v>
      </c>
      <c r="B123" s="5">
        <v>826</v>
      </c>
      <c r="C123" s="5">
        <v>74153390</v>
      </c>
      <c r="D123" s="11">
        <v>1.31</v>
      </c>
    </row>
    <row r="124" spans="1:4" x14ac:dyDescent="0.35">
      <c r="A124" s="4">
        <v>44075</v>
      </c>
      <c r="B124" s="5">
        <v>616</v>
      </c>
      <c r="C124" s="5">
        <v>82059010</v>
      </c>
      <c r="D124" s="11">
        <v>0.16</v>
      </c>
    </row>
    <row r="125" spans="1:4" x14ac:dyDescent="0.35">
      <c r="A125" s="4">
        <v>42644</v>
      </c>
      <c r="B125" s="5">
        <v>250</v>
      </c>
      <c r="C125" s="5">
        <v>72192111</v>
      </c>
      <c r="D125" s="11">
        <v>18.37</v>
      </c>
    </row>
    <row r="126" spans="1:4" x14ac:dyDescent="0.35">
      <c r="A126" s="4">
        <v>43586</v>
      </c>
      <c r="B126" s="5">
        <v>40</v>
      </c>
      <c r="C126" s="5">
        <v>85469010</v>
      </c>
      <c r="D126" s="11">
        <v>1.94</v>
      </c>
    </row>
    <row r="127" spans="1:4" x14ac:dyDescent="0.35">
      <c r="A127" s="4">
        <v>42064</v>
      </c>
      <c r="B127" s="5">
        <v>233</v>
      </c>
      <c r="C127" s="5">
        <v>54023300</v>
      </c>
      <c r="D127" s="11">
        <v>29.03</v>
      </c>
    </row>
    <row r="128" spans="1:4" x14ac:dyDescent="0.35">
      <c r="A128" s="4">
        <v>45383</v>
      </c>
      <c r="B128" s="5">
        <v>616</v>
      </c>
      <c r="C128" s="5">
        <v>90173021</v>
      </c>
      <c r="D128" s="11">
        <v>0.38</v>
      </c>
    </row>
    <row r="129" spans="1:4" x14ac:dyDescent="0.35">
      <c r="A129" s="4">
        <v>45809</v>
      </c>
      <c r="B129" s="5">
        <v>300</v>
      </c>
      <c r="C129" s="5">
        <v>86072900</v>
      </c>
      <c r="D129" s="11">
        <v>0.12</v>
      </c>
    </row>
    <row r="130" spans="1:4" x14ac:dyDescent="0.35">
      <c r="A130" s="4">
        <v>42309</v>
      </c>
      <c r="B130" s="5">
        <v>276</v>
      </c>
      <c r="C130" s="5">
        <v>82076090</v>
      </c>
      <c r="D130" s="11">
        <v>74.41</v>
      </c>
    </row>
    <row r="131" spans="1:4" x14ac:dyDescent="0.35">
      <c r="A131" s="4">
        <v>42248</v>
      </c>
      <c r="B131" s="5">
        <v>724</v>
      </c>
      <c r="C131" s="5">
        <v>9101120</v>
      </c>
      <c r="D131" s="11">
        <v>106.51</v>
      </c>
    </row>
    <row r="132" spans="1:4" x14ac:dyDescent="0.35">
      <c r="A132" s="4">
        <v>42522</v>
      </c>
      <c r="B132" s="5">
        <v>276</v>
      </c>
      <c r="C132" s="5">
        <v>87149600</v>
      </c>
      <c r="D132" s="11">
        <v>0.41</v>
      </c>
    </row>
    <row r="133" spans="1:4" x14ac:dyDescent="0.35">
      <c r="A133" s="4">
        <v>42767</v>
      </c>
      <c r="B133" s="5">
        <v>756</v>
      </c>
      <c r="C133" s="5">
        <v>42029100</v>
      </c>
      <c r="D133" s="11">
        <v>8.44</v>
      </c>
    </row>
    <row r="134" spans="1:4" x14ac:dyDescent="0.35">
      <c r="A134" s="4">
        <v>43678</v>
      </c>
      <c r="B134" s="5">
        <v>276</v>
      </c>
      <c r="C134" s="5">
        <v>72230091</v>
      </c>
      <c r="D134" s="11">
        <v>467.6</v>
      </c>
    </row>
    <row r="135" spans="1:4" x14ac:dyDescent="0.35">
      <c r="A135" s="4">
        <v>42856</v>
      </c>
      <c r="B135" s="5">
        <v>470</v>
      </c>
      <c r="C135" s="5">
        <v>84129030</v>
      </c>
      <c r="D135" s="11">
        <v>0.35</v>
      </c>
    </row>
    <row r="136" spans="1:4" x14ac:dyDescent="0.35">
      <c r="A136" s="4">
        <v>44378</v>
      </c>
      <c r="B136" s="5">
        <v>372</v>
      </c>
      <c r="C136" s="5">
        <v>42021120</v>
      </c>
      <c r="D136" s="11">
        <v>0.4</v>
      </c>
    </row>
    <row r="137" spans="1:4" x14ac:dyDescent="0.35">
      <c r="A137" s="4">
        <v>43983</v>
      </c>
      <c r="B137" s="5">
        <v>620</v>
      </c>
      <c r="C137" s="5">
        <v>29038900</v>
      </c>
      <c r="D137" s="11">
        <v>436.25</v>
      </c>
    </row>
    <row r="138" spans="1:4" x14ac:dyDescent="0.35">
      <c r="A138" s="4">
        <v>45748</v>
      </c>
      <c r="B138" s="5">
        <v>372</v>
      </c>
      <c r="C138" s="5">
        <v>63026090</v>
      </c>
      <c r="D138" s="11">
        <v>0.35</v>
      </c>
    </row>
    <row r="139" spans="1:4" x14ac:dyDescent="0.35">
      <c r="A139" s="4">
        <v>42217</v>
      </c>
      <c r="B139" s="5">
        <v>276</v>
      </c>
      <c r="C139" s="5">
        <v>64051000</v>
      </c>
      <c r="D139" s="11">
        <v>85.99</v>
      </c>
    </row>
    <row r="140" spans="1:4" x14ac:dyDescent="0.35">
      <c r="A140" s="4">
        <v>44378</v>
      </c>
      <c r="B140" s="5">
        <v>620</v>
      </c>
      <c r="C140" s="5">
        <v>95030090</v>
      </c>
      <c r="D140" s="11">
        <v>1.38</v>
      </c>
    </row>
    <row r="141" spans="1:4" x14ac:dyDescent="0.35">
      <c r="A141" s="4">
        <v>43160</v>
      </c>
      <c r="B141" s="5">
        <v>380</v>
      </c>
      <c r="C141" s="5">
        <v>28539090</v>
      </c>
      <c r="D141" s="11">
        <v>13.16</v>
      </c>
    </row>
    <row r="142" spans="1:4" x14ac:dyDescent="0.35">
      <c r="A142" s="4">
        <v>42095</v>
      </c>
      <c r="B142" s="5">
        <v>642</v>
      </c>
      <c r="C142" s="5">
        <v>62081990</v>
      </c>
      <c r="D142" s="11">
        <v>1.8</v>
      </c>
    </row>
    <row r="143" spans="1:4" x14ac:dyDescent="0.35">
      <c r="A143" s="4">
        <v>44075</v>
      </c>
      <c r="B143" s="5">
        <v>826</v>
      </c>
      <c r="C143" s="5">
        <v>58089040</v>
      </c>
      <c r="D143" s="11">
        <v>0.35</v>
      </c>
    </row>
    <row r="144" spans="1:4" x14ac:dyDescent="0.35">
      <c r="A144" s="4">
        <v>43009</v>
      </c>
      <c r="B144" s="5">
        <v>826</v>
      </c>
      <c r="C144" s="5">
        <v>9109990</v>
      </c>
      <c r="D144" s="11">
        <v>27.82</v>
      </c>
    </row>
    <row r="145" spans="1:4" x14ac:dyDescent="0.35">
      <c r="A145" s="4">
        <v>42522</v>
      </c>
      <c r="B145" s="5">
        <v>826</v>
      </c>
      <c r="C145" s="5">
        <v>62149090</v>
      </c>
      <c r="D145" s="11">
        <v>2336.1</v>
      </c>
    </row>
    <row r="146" spans="1:4" x14ac:dyDescent="0.35">
      <c r="A146" s="4">
        <v>42125</v>
      </c>
      <c r="B146" s="5">
        <v>56</v>
      </c>
      <c r="C146" s="5">
        <v>52053110</v>
      </c>
      <c r="D146" s="11">
        <v>18.71</v>
      </c>
    </row>
    <row r="147" spans="1:4" x14ac:dyDescent="0.35">
      <c r="A147" s="4">
        <v>43983</v>
      </c>
      <c r="B147" s="5">
        <v>40</v>
      </c>
      <c r="C147" s="5">
        <v>71039952</v>
      </c>
      <c r="D147" s="11">
        <v>102.76</v>
      </c>
    </row>
    <row r="148" spans="1:4" x14ac:dyDescent="0.35">
      <c r="A148" s="4">
        <v>44136</v>
      </c>
      <c r="B148" s="5">
        <v>70</v>
      </c>
      <c r="C148" s="5">
        <v>28352200</v>
      </c>
      <c r="D148" s="11">
        <v>0.28999999999999998</v>
      </c>
    </row>
    <row r="149" spans="1:4" x14ac:dyDescent="0.35">
      <c r="A149" s="4">
        <v>45627</v>
      </c>
      <c r="B149" s="5">
        <v>250</v>
      </c>
      <c r="C149" s="5">
        <v>34011990</v>
      </c>
      <c r="D149" s="11">
        <v>0.08</v>
      </c>
    </row>
    <row r="150" spans="1:4" x14ac:dyDescent="0.35">
      <c r="A150" s="4">
        <v>43132</v>
      </c>
      <c r="B150" s="5">
        <v>620</v>
      </c>
      <c r="C150" s="5">
        <v>73269099</v>
      </c>
      <c r="D150" s="11">
        <v>42.86</v>
      </c>
    </row>
    <row r="151" spans="1:4" x14ac:dyDescent="0.35">
      <c r="A151" s="4">
        <v>44075</v>
      </c>
      <c r="B151" s="5">
        <v>643</v>
      </c>
      <c r="C151" s="5">
        <v>40141010</v>
      </c>
      <c r="D151" s="11">
        <v>24.14</v>
      </c>
    </row>
    <row r="152" spans="1:4" x14ac:dyDescent="0.35">
      <c r="A152" s="4">
        <v>43009</v>
      </c>
      <c r="B152" s="5">
        <v>276</v>
      </c>
      <c r="C152" s="5">
        <v>30042039</v>
      </c>
      <c r="D152" s="11">
        <v>23.31</v>
      </c>
    </row>
    <row r="153" spans="1:4" x14ac:dyDescent="0.35">
      <c r="A153" s="4">
        <v>43101</v>
      </c>
      <c r="B153" s="5">
        <v>276</v>
      </c>
      <c r="C153" s="5">
        <v>62104090</v>
      </c>
      <c r="D153" s="11">
        <v>0.19</v>
      </c>
    </row>
    <row r="154" spans="1:4" x14ac:dyDescent="0.35">
      <c r="A154" s="4">
        <v>45689</v>
      </c>
      <c r="B154" s="5">
        <v>642</v>
      </c>
      <c r="C154" s="5">
        <v>20089994</v>
      </c>
      <c r="D154" s="11">
        <v>0.01</v>
      </c>
    </row>
    <row r="155" spans="1:4" x14ac:dyDescent="0.35">
      <c r="A155" s="4">
        <v>44013</v>
      </c>
      <c r="B155" s="5">
        <v>752</v>
      </c>
      <c r="C155" s="5">
        <v>85437099</v>
      </c>
      <c r="D155" s="11">
        <v>0.05</v>
      </c>
    </row>
    <row r="156" spans="1:4" x14ac:dyDescent="0.35">
      <c r="A156" s="4">
        <v>45658</v>
      </c>
      <c r="B156" s="5">
        <v>250</v>
      </c>
      <c r="C156" s="5">
        <v>62102030</v>
      </c>
      <c r="D156" s="11">
        <v>0.02</v>
      </c>
    </row>
    <row r="157" spans="1:4" x14ac:dyDescent="0.35">
      <c r="A157" s="4">
        <v>45597</v>
      </c>
      <c r="B157" s="5">
        <v>40</v>
      </c>
      <c r="C157" s="5">
        <v>84821030</v>
      </c>
      <c r="D157" s="11">
        <v>0.12</v>
      </c>
    </row>
    <row r="158" spans="1:4" x14ac:dyDescent="0.35">
      <c r="A158" s="4">
        <v>42826</v>
      </c>
      <c r="B158" s="5">
        <v>276</v>
      </c>
      <c r="C158" s="5">
        <v>29415000</v>
      </c>
      <c r="D158" s="11">
        <v>102.77</v>
      </c>
    </row>
    <row r="159" spans="1:4" x14ac:dyDescent="0.35">
      <c r="A159" s="4">
        <v>42614</v>
      </c>
      <c r="B159" s="5">
        <v>380</v>
      </c>
      <c r="C159" s="5">
        <v>73102990</v>
      </c>
      <c r="D159" s="11">
        <v>1.29</v>
      </c>
    </row>
    <row r="160" spans="1:4" x14ac:dyDescent="0.35">
      <c r="A160" s="4">
        <v>43739</v>
      </c>
      <c r="B160" s="5">
        <v>528</v>
      </c>
      <c r="C160" s="5">
        <v>63025900</v>
      </c>
      <c r="D160" s="11">
        <v>1.47</v>
      </c>
    </row>
    <row r="161" spans="1:4" x14ac:dyDescent="0.35">
      <c r="A161" s="4">
        <v>43221</v>
      </c>
      <c r="B161" s="5">
        <v>20</v>
      </c>
      <c r="C161" s="5">
        <v>62114300</v>
      </c>
      <c r="D161" s="11">
        <v>0.24</v>
      </c>
    </row>
    <row r="162" spans="1:4" x14ac:dyDescent="0.35">
      <c r="A162" s="4">
        <v>45809</v>
      </c>
      <c r="B162" s="5">
        <v>643</v>
      </c>
      <c r="C162" s="5">
        <v>9041150</v>
      </c>
      <c r="D162" s="11">
        <v>0.25</v>
      </c>
    </row>
    <row r="163" spans="1:4" x14ac:dyDescent="0.35">
      <c r="A163" s="4">
        <v>45717</v>
      </c>
      <c r="B163" s="5">
        <v>826</v>
      </c>
      <c r="C163" s="5">
        <v>45041010</v>
      </c>
      <c r="D163" s="11">
        <v>0.06</v>
      </c>
    </row>
    <row r="164" spans="1:4" x14ac:dyDescent="0.35">
      <c r="A164" s="4">
        <v>44105</v>
      </c>
      <c r="B164" s="5">
        <v>470</v>
      </c>
      <c r="C164" s="5">
        <v>40081110</v>
      </c>
      <c r="D164" s="11">
        <v>9.5299999999999994</v>
      </c>
    </row>
    <row r="165" spans="1:4" x14ac:dyDescent="0.35">
      <c r="A165" s="4">
        <v>44348</v>
      </c>
      <c r="B165" s="5">
        <v>826</v>
      </c>
      <c r="C165" s="5">
        <v>84091000</v>
      </c>
      <c r="D165" s="11">
        <v>5.46</v>
      </c>
    </row>
    <row r="166" spans="1:4" x14ac:dyDescent="0.35">
      <c r="A166" s="4">
        <v>42795</v>
      </c>
      <c r="B166" s="5">
        <v>826</v>
      </c>
      <c r="C166" s="5">
        <v>69079010</v>
      </c>
      <c r="D166" s="11">
        <v>79.010000000000005</v>
      </c>
    </row>
    <row r="167" spans="1:4" x14ac:dyDescent="0.35">
      <c r="A167" s="4">
        <v>45505</v>
      </c>
      <c r="B167" s="5">
        <v>643</v>
      </c>
      <c r="C167" s="5">
        <v>84212200</v>
      </c>
      <c r="D167" s="11">
        <v>0.96</v>
      </c>
    </row>
    <row r="168" spans="1:4" x14ac:dyDescent="0.35">
      <c r="A168" s="4">
        <v>43405</v>
      </c>
      <c r="B168" s="5">
        <v>246</v>
      </c>
      <c r="C168" s="5">
        <v>29359090</v>
      </c>
      <c r="D168" s="11">
        <v>3.88</v>
      </c>
    </row>
    <row r="169" spans="1:4" x14ac:dyDescent="0.35">
      <c r="A169" s="4">
        <v>43497</v>
      </c>
      <c r="B169" s="5">
        <v>250</v>
      </c>
      <c r="C169" s="5">
        <v>44219960</v>
      </c>
      <c r="D169" s="11">
        <v>0.04</v>
      </c>
    </row>
    <row r="170" spans="1:4" x14ac:dyDescent="0.35">
      <c r="A170" s="4">
        <v>42461</v>
      </c>
      <c r="B170" s="5">
        <v>724</v>
      </c>
      <c r="C170" s="5">
        <v>32041982</v>
      </c>
      <c r="D170" s="11">
        <v>58.4</v>
      </c>
    </row>
    <row r="171" spans="1:4" x14ac:dyDescent="0.35">
      <c r="A171" s="4">
        <v>43647</v>
      </c>
      <c r="B171" s="5">
        <v>300</v>
      </c>
      <c r="C171" s="5">
        <v>84159000</v>
      </c>
      <c r="D171" s="11">
        <v>0.75</v>
      </c>
    </row>
    <row r="172" spans="1:4" x14ac:dyDescent="0.35">
      <c r="A172" s="4">
        <v>44136</v>
      </c>
      <c r="B172" s="5">
        <v>250</v>
      </c>
      <c r="C172" s="5">
        <v>44199090</v>
      </c>
      <c r="D172" s="11">
        <v>24.83</v>
      </c>
    </row>
    <row r="173" spans="1:4" x14ac:dyDescent="0.35">
      <c r="A173" s="4">
        <v>42675</v>
      </c>
      <c r="B173" s="5">
        <v>826</v>
      </c>
      <c r="C173" s="5">
        <v>85489000</v>
      </c>
      <c r="D173" s="11">
        <v>1.1399999999999999</v>
      </c>
    </row>
    <row r="174" spans="1:4" x14ac:dyDescent="0.35">
      <c r="A174" s="4">
        <v>44044</v>
      </c>
      <c r="B174" s="5">
        <v>616</v>
      </c>
      <c r="C174" s="5">
        <v>84099911</v>
      </c>
      <c r="D174" s="11">
        <v>17.309999999999999</v>
      </c>
    </row>
    <row r="175" spans="1:4" x14ac:dyDescent="0.35">
      <c r="A175" s="4">
        <v>42156</v>
      </c>
      <c r="B175" s="5">
        <v>380</v>
      </c>
      <c r="C175" s="5">
        <v>87081010</v>
      </c>
      <c r="D175" s="11">
        <v>12.92</v>
      </c>
    </row>
    <row r="176" spans="1:4" x14ac:dyDescent="0.35">
      <c r="A176" s="4">
        <v>44075</v>
      </c>
      <c r="B176" s="5">
        <v>276</v>
      </c>
      <c r="C176" s="5">
        <v>9041150</v>
      </c>
      <c r="D176" s="11">
        <v>68.3</v>
      </c>
    </row>
    <row r="177" spans="1:4" x14ac:dyDescent="0.35">
      <c r="A177" s="4">
        <v>44409</v>
      </c>
      <c r="B177" s="5">
        <v>300</v>
      </c>
      <c r="C177" s="5">
        <v>85049090</v>
      </c>
      <c r="D177" s="11">
        <v>0.04</v>
      </c>
    </row>
    <row r="178" spans="1:4" x14ac:dyDescent="0.35">
      <c r="A178" s="4">
        <v>42736</v>
      </c>
      <c r="B178" s="5">
        <v>250</v>
      </c>
      <c r="C178" s="5">
        <v>63079020</v>
      </c>
      <c r="D178" s="11">
        <v>517.96</v>
      </c>
    </row>
    <row r="179" spans="1:4" x14ac:dyDescent="0.35">
      <c r="A179" s="4">
        <v>44501</v>
      </c>
      <c r="B179" s="5">
        <v>826</v>
      </c>
      <c r="C179" s="5">
        <v>30066020</v>
      </c>
      <c r="D179" s="11">
        <v>4.0599999999999996</v>
      </c>
    </row>
    <row r="180" spans="1:4" x14ac:dyDescent="0.35">
      <c r="A180" s="4">
        <v>45778</v>
      </c>
      <c r="B180" s="5">
        <v>528</v>
      </c>
      <c r="C180" s="5">
        <v>29329990</v>
      </c>
      <c r="D180" s="11">
        <v>11.52</v>
      </c>
    </row>
    <row r="181" spans="1:4" x14ac:dyDescent="0.35">
      <c r="A181" s="4">
        <v>43374</v>
      </c>
      <c r="B181" s="5">
        <v>250</v>
      </c>
      <c r="C181" s="5">
        <v>29214234</v>
      </c>
      <c r="D181" s="11">
        <v>25.71</v>
      </c>
    </row>
    <row r="182" spans="1:4" x14ac:dyDescent="0.35">
      <c r="A182" s="4">
        <v>44409</v>
      </c>
      <c r="B182" s="5">
        <v>528</v>
      </c>
      <c r="C182" s="5">
        <v>87084000</v>
      </c>
      <c r="D182" s="11">
        <v>326.36</v>
      </c>
    </row>
    <row r="183" spans="1:4" x14ac:dyDescent="0.35">
      <c r="A183" s="4">
        <v>44287</v>
      </c>
      <c r="B183" s="5">
        <v>250</v>
      </c>
      <c r="C183" s="5">
        <v>85441920</v>
      </c>
      <c r="D183" s="11">
        <v>0.22</v>
      </c>
    </row>
    <row r="184" spans="1:4" x14ac:dyDescent="0.35">
      <c r="A184" s="4">
        <v>45536</v>
      </c>
      <c r="B184" s="5">
        <v>40</v>
      </c>
      <c r="C184" s="5">
        <v>40114010</v>
      </c>
      <c r="D184" s="11">
        <v>0</v>
      </c>
    </row>
    <row r="185" spans="1:4" x14ac:dyDescent="0.35">
      <c r="A185" s="4">
        <v>43983</v>
      </c>
      <c r="B185" s="5">
        <v>752</v>
      </c>
      <c r="C185" s="5">
        <v>94043090</v>
      </c>
      <c r="D185" s="11">
        <v>7.24</v>
      </c>
    </row>
    <row r="186" spans="1:4" x14ac:dyDescent="0.35">
      <c r="A186" s="4">
        <v>42948</v>
      </c>
      <c r="B186" s="5">
        <v>620</v>
      </c>
      <c r="C186" s="5">
        <v>42022220</v>
      </c>
      <c r="D186" s="11">
        <v>95.28</v>
      </c>
    </row>
    <row r="187" spans="1:4" x14ac:dyDescent="0.35">
      <c r="A187" s="4">
        <v>45597</v>
      </c>
      <c r="B187" s="6" t="s">
        <v>173</v>
      </c>
      <c r="C187" s="5">
        <v>87112019</v>
      </c>
      <c r="D187" s="11">
        <v>0.39</v>
      </c>
    </row>
    <row r="188" spans="1:4" x14ac:dyDescent="0.35">
      <c r="A188" s="4">
        <v>43800</v>
      </c>
      <c r="B188" s="5">
        <v>40</v>
      </c>
      <c r="C188" s="5">
        <v>32159090</v>
      </c>
      <c r="D188" s="11">
        <v>3.32</v>
      </c>
    </row>
    <row r="189" spans="1:4" x14ac:dyDescent="0.35">
      <c r="A189" s="4">
        <v>45748</v>
      </c>
      <c r="B189" s="5">
        <v>208</v>
      </c>
      <c r="C189" s="5">
        <v>90172020</v>
      </c>
      <c r="D189" s="11">
        <v>0.01</v>
      </c>
    </row>
    <row r="190" spans="1:4" x14ac:dyDescent="0.35">
      <c r="A190" s="4">
        <v>45597</v>
      </c>
      <c r="B190" s="5">
        <v>620</v>
      </c>
      <c r="C190" s="5">
        <v>17049090</v>
      </c>
      <c r="D190" s="11">
        <v>0.01</v>
      </c>
    </row>
    <row r="191" spans="1:4" x14ac:dyDescent="0.35">
      <c r="A191" s="4">
        <v>43132</v>
      </c>
      <c r="B191" s="5">
        <v>620</v>
      </c>
      <c r="C191" s="5">
        <v>74181021</v>
      </c>
      <c r="D191" s="11">
        <v>0.08</v>
      </c>
    </row>
    <row r="192" spans="1:4" x14ac:dyDescent="0.35">
      <c r="A192" s="4">
        <v>44256</v>
      </c>
      <c r="B192" s="5">
        <v>40</v>
      </c>
      <c r="C192" s="5">
        <v>29052900</v>
      </c>
      <c r="D192" s="11">
        <v>46.08</v>
      </c>
    </row>
    <row r="193" spans="1:4" x14ac:dyDescent="0.35">
      <c r="A193" s="4">
        <v>43282</v>
      </c>
      <c r="B193" s="5">
        <v>616</v>
      </c>
      <c r="C193" s="5">
        <v>87089400</v>
      </c>
      <c r="D193" s="11">
        <v>301.74</v>
      </c>
    </row>
    <row r="194" spans="1:4" x14ac:dyDescent="0.35">
      <c r="A194" s="4">
        <v>44044</v>
      </c>
      <c r="B194" s="5">
        <v>807</v>
      </c>
      <c r="C194" s="5">
        <v>87019200</v>
      </c>
      <c r="D194" s="11">
        <v>155.97</v>
      </c>
    </row>
    <row r="195" spans="1:4" x14ac:dyDescent="0.35">
      <c r="A195" s="4">
        <v>42248</v>
      </c>
      <c r="B195" s="5">
        <v>276</v>
      </c>
      <c r="C195" s="5">
        <v>84099941</v>
      </c>
      <c r="D195" s="11">
        <v>878.72</v>
      </c>
    </row>
    <row r="196" spans="1:4" x14ac:dyDescent="0.35">
      <c r="A196" s="4">
        <v>42278</v>
      </c>
      <c r="B196" s="5">
        <v>616</v>
      </c>
      <c r="C196" s="5">
        <v>84612019</v>
      </c>
      <c r="D196" s="11">
        <v>15.48</v>
      </c>
    </row>
    <row r="197" spans="1:4" x14ac:dyDescent="0.35">
      <c r="A197" s="4">
        <v>45474</v>
      </c>
      <c r="B197" s="5">
        <v>688</v>
      </c>
      <c r="C197" s="5">
        <v>29054300</v>
      </c>
      <c r="D197" s="11">
        <v>0</v>
      </c>
    </row>
    <row r="198" spans="1:4" x14ac:dyDescent="0.35">
      <c r="A198" s="4">
        <v>42217</v>
      </c>
      <c r="B198" s="5">
        <v>250</v>
      </c>
      <c r="C198" s="5">
        <v>39232100</v>
      </c>
      <c r="D198" s="11">
        <v>295.94</v>
      </c>
    </row>
    <row r="199" spans="1:4" x14ac:dyDescent="0.35">
      <c r="A199" s="4">
        <v>43405</v>
      </c>
      <c r="B199" s="5">
        <v>250</v>
      </c>
      <c r="C199" s="5">
        <v>69029010</v>
      </c>
      <c r="D199" s="11">
        <v>3.8</v>
      </c>
    </row>
    <row r="200" spans="1:4" x14ac:dyDescent="0.35">
      <c r="A200" s="4">
        <v>43405</v>
      </c>
      <c r="B200" s="5">
        <v>804</v>
      </c>
      <c r="C200" s="5">
        <v>84842000</v>
      </c>
      <c r="D200" s="11">
        <v>0.09</v>
      </c>
    </row>
    <row r="201" spans="1:4" x14ac:dyDescent="0.35">
      <c r="A201" s="4">
        <v>45627</v>
      </c>
      <c r="B201" s="5">
        <v>642</v>
      </c>
      <c r="C201" s="5">
        <v>87089500</v>
      </c>
      <c r="D201" s="11">
        <v>2.4500000000000002</v>
      </c>
    </row>
    <row r="202" spans="1:4" x14ac:dyDescent="0.35">
      <c r="A202" s="4">
        <v>45505</v>
      </c>
      <c r="B202" s="5">
        <v>56</v>
      </c>
      <c r="C202" s="5">
        <v>84814000</v>
      </c>
      <c r="D202" s="11">
        <v>0.76</v>
      </c>
    </row>
    <row r="203" spans="1:4" x14ac:dyDescent="0.35">
      <c r="A203" s="4">
        <v>42736</v>
      </c>
      <c r="B203" s="5">
        <v>752</v>
      </c>
      <c r="C203" s="5">
        <v>71131930</v>
      </c>
      <c r="D203" s="11">
        <v>583.79</v>
      </c>
    </row>
    <row r="204" spans="1:4" x14ac:dyDescent="0.35">
      <c r="A204" s="4">
        <v>43497</v>
      </c>
      <c r="B204" s="5">
        <v>724</v>
      </c>
      <c r="C204" s="5">
        <v>48192090</v>
      </c>
      <c r="D204" s="11">
        <v>105.88</v>
      </c>
    </row>
    <row r="205" spans="1:4" x14ac:dyDescent="0.35">
      <c r="A205" s="4">
        <v>43344</v>
      </c>
      <c r="B205" s="5">
        <v>826</v>
      </c>
      <c r="C205" s="5">
        <v>32041159</v>
      </c>
      <c r="D205" s="11">
        <v>131.47</v>
      </c>
    </row>
    <row r="206" spans="1:4" x14ac:dyDescent="0.35">
      <c r="A206" s="4">
        <v>42064</v>
      </c>
      <c r="B206" s="5">
        <v>528</v>
      </c>
      <c r="C206" s="5">
        <v>64039920</v>
      </c>
      <c r="D206" s="11">
        <v>171.74</v>
      </c>
    </row>
    <row r="207" spans="1:4" x14ac:dyDescent="0.35">
      <c r="A207" s="4">
        <v>42461</v>
      </c>
      <c r="B207" s="5">
        <v>300</v>
      </c>
      <c r="C207" s="5">
        <v>84149019</v>
      </c>
      <c r="D207" s="11">
        <v>4.6500000000000004</v>
      </c>
    </row>
    <row r="208" spans="1:4" x14ac:dyDescent="0.35">
      <c r="A208" s="4">
        <v>43191</v>
      </c>
      <c r="B208" s="5">
        <v>276</v>
      </c>
      <c r="C208" s="5">
        <v>39069010</v>
      </c>
      <c r="D208" s="11">
        <v>60.49</v>
      </c>
    </row>
    <row r="209" spans="1:4" x14ac:dyDescent="0.35">
      <c r="A209" s="4">
        <v>42186</v>
      </c>
      <c r="B209" s="5">
        <v>250</v>
      </c>
      <c r="C209" s="5">
        <v>71069290</v>
      </c>
      <c r="D209" s="11">
        <v>0.72</v>
      </c>
    </row>
    <row r="210" spans="1:4" x14ac:dyDescent="0.35">
      <c r="A210" s="4">
        <v>43709</v>
      </c>
      <c r="B210" s="5">
        <v>752</v>
      </c>
      <c r="C210" s="5">
        <v>57019090</v>
      </c>
      <c r="D210" s="11">
        <v>14.8</v>
      </c>
    </row>
    <row r="211" spans="1:4" x14ac:dyDescent="0.35">
      <c r="A211" s="4">
        <v>43221</v>
      </c>
      <c r="B211" s="5">
        <v>724</v>
      </c>
      <c r="C211" s="5">
        <v>53091990</v>
      </c>
      <c r="D211" s="11">
        <v>0.64</v>
      </c>
    </row>
    <row r="212" spans="1:4" x14ac:dyDescent="0.35">
      <c r="A212" s="4">
        <v>43525</v>
      </c>
      <c r="B212" s="5">
        <v>528</v>
      </c>
      <c r="C212" s="5">
        <v>40132000</v>
      </c>
      <c r="D212" s="11">
        <v>106.81</v>
      </c>
    </row>
    <row r="213" spans="1:4" x14ac:dyDescent="0.35">
      <c r="A213" s="4">
        <v>45474</v>
      </c>
      <c r="B213" s="5">
        <v>233</v>
      </c>
      <c r="C213" s="5">
        <v>73181900</v>
      </c>
      <c r="D213" s="11">
        <v>0.06</v>
      </c>
    </row>
    <row r="214" spans="1:4" x14ac:dyDescent="0.35">
      <c r="A214" s="4">
        <v>43586</v>
      </c>
      <c r="B214" s="5">
        <v>826</v>
      </c>
      <c r="C214" s="5">
        <v>64032029</v>
      </c>
      <c r="D214" s="11">
        <v>2.65</v>
      </c>
    </row>
    <row r="215" spans="1:4" x14ac:dyDescent="0.35">
      <c r="A215" s="4">
        <v>44409</v>
      </c>
      <c r="B215" s="5">
        <v>380</v>
      </c>
      <c r="C215" s="5">
        <v>90251990</v>
      </c>
      <c r="D215" s="11">
        <v>57.86</v>
      </c>
    </row>
    <row r="216" spans="1:4" x14ac:dyDescent="0.35">
      <c r="A216" s="4">
        <v>45627</v>
      </c>
      <c r="B216" s="5">
        <v>372</v>
      </c>
      <c r="C216" s="5">
        <v>90183920</v>
      </c>
      <c r="D216" s="11">
        <v>0.18</v>
      </c>
    </row>
    <row r="217" spans="1:4" x14ac:dyDescent="0.35">
      <c r="A217" s="4">
        <v>44013</v>
      </c>
      <c r="B217" s="5">
        <v>826</v>
      </c>
      <c r="C217" s="5">
        <v>73261990</v>
      </c>
      <c r="D217" s="11">
        <v>115.83</v>
      </c>
    </row>
    <row r="218" spans="1:4" x14ac:dyDescent="0.35">
      <c r="A218" s="4">
        <v>42522</v>
      </c>
      <c r="B218" s="5">
        <v>100</v>
      </c>
      <c r="C218" s="5">
        <v>85444292</v>
      </c>
      <c r="D218" s="11">
        <v>7.78</v>
      </c>
    </row>
    <row r="219" spans="1:4" x14ac:dyDescent="0.35">
      <c r="A219" s="4">
        <v>44013</v>
      </c>
      <c r="B219" s="5">
        <v>499</v>
      </c>
      <c r="C219" s="5">
        <v>10064000</v>
      </c>
      <c r="D219" s="11">
        <v>12.09</v>
      </c>
    </row>
    <row r="220" spans="1:4" x14ac:dyDescent="0.35">
      <c r="A220" s="4">
        <v>42217</v>
      </c>
      <c r="B220" s="5">
        <v>276</v>
      </c>
      <c r="C220" s="5">
        <v>62079990</v>
      </c>
      <c r="D220" s="11">
        <v>10</v>
      </c>
    </row>
    <row r="221" spans="1:4" x14ac:dyDescent="0.35">
      <c r="A221" s="4">
        <v>42309</v>
      </c>
      <c r="B221" s="5">
        <v>826</v>
      </c>
      <c r="C221" s="5">
        <v>60011090</v>
      </c>
      <c r="D221" s="11">
        <v>6.99</v>
      </c>
    </row>
    <row r="222" spans="1:4" x14ac:dyDescent="0.35">
      <c r="A222" s="4">
        <v>45627</v>
      </c>
      <c r="B222" s="5">
        <v>826</v>
      </c>
      <c r="C222" s="5">
        <v>62044999</v>
      </c>
      <c r="D222" s="11">
        <v>12.95</v>
      </c>
    </row>
    <row r="223" spans="1:4" x14ac:dyDescent="0.35">
      <c r="A223" s="4">
        <v>42095</v>
      </c>
      <c r="B223" s="5">
        <v>826</v>
      </c>
      <c r="C223" s="5">
        <v>39219092</v>
      </c>
      <c r="D223" s="11">
        <v>1.98</v>
      </c>
    </row>
    <row r="224" spans="1:4" x14ac:dyDescent="0.35">
      <c r="A224" s="4">
        <v>45778</v>
      </c>
      <c r="B224" s="5">
        <v>642</v>
      </c>
      <c r="C224" s="5">
        <v>84831099</v>
      </c>
      <c r="D224" s="11">
        <v>0.01</v>
      </c>
    </row>
    <row r="225" spans="1:4" x14ac:dyDescent="0.35">
      <c r="A225" s="4">
        <v>42125</v>
      </c>
      <c r="B225" s="5">
        <v>724</v>
      </c>
      <c r="C225" s="5">
        <v>85423100</v>
      </c>
      <c r="D225" s="11">
        <v>61.44</v>
      </c>
    </row>
    <row r="226" spans="1:4" x14ac:dyDescent="0.35">
      <c r="A226" s="4">
        <v>42248</v>
      </c>
      <c r="B226" s="5">
        <v>40</v>
      </c>
      <c r="C226" s="5">
        <v>39095000</v>
      </c>
      <c r="D226" s="11">
        <v>24.9</v>
      </c>
    </row>
    <row r="227" spans="1:4" x14ac:dyDescent="0.35">
      <c r="A227" s="4">
        <v>42401</v>
      </c>
      <c r="B227" s="5">
        <v>380</v>
      </c>
      <c r="C227" s="5">
        <v>84821030</v>
      </c>
      <c r="D227" s="11">
        <v>28.44</v>
      </c>
    </row>
    <row r="228" spans="1:4" x14ac:dyDescent="0.35">
      <c r="A228" s="4">
        <v>45597</v>
      </c>
      <c r="B228" s="5">
        <v>300</v>
      </c>
      <c r="C228" s="5">
        <v>12075090</v>
      </c>
      <c r="D228" s="11">
        <v>0</v>
      </c>
    </row>
    <row r="229" spans="1:4" x14ac:dyDescent="0.35">
      <c r="A229" s="4">
        <v>44228</v>
      </c>
      <c r="B229" s="5">
        <v>756</v>
      </c>
      <c r="C229" s="5">
        <v>62160010</v>
      </c>
      <c r="D229" s="11">
        <v>0.72</v>
      </c>
    </row>
    <row r="230" spans="1:4" x14ac:dyDescent="0.35">
      <c r="A230" s="4">
        <v>42491</v>
      </c>
      <c r="B230" s="5">
        <v>616</v>
      </c>
      <c r="C230" s="5">
        <v>64035113</v>
      </c>
      <c r="D230" s="11">
        <v>773.04</v>
      </c>
    </row>
    <row r="231" spans="1:4" x14ac:dyDescent="0.35">
      <c r="A231" s="4">
        <v>43070</v>
      </c>
      <c r="B231" s="5">
        <v>826</v>
      </c>
      <c r="C231" s="5">
        <v>63041910</v>
      </c>
      <c r="D231" s="11">
        <v>1247.69</v>
      </c>
    </row>
    <row r="232" spans="1:4" x14ac:dyDescent="0.35">
      <c r="A232" s="4">
        <v>43831</v>
      </c>
      <c r="B232" s="5">
        <v>826</v>
      </c>
      <c r="C232" s="5">
        <v>83023090</v>
      </c>
      <c r="D232" s="11">
        <v>8.93</v>
      </c>
    </row>
    <row r="233" spans="1:4" x14ac:dyDescent="0.35">
      <c r="A233" s="4">
        <v>43556</v>
      </c>
      <c r="B233" s="5">
        <v>442</v>
      </c>
      <c r="C233" s="5">
        <v>85334030</v>
      </c>
      <c r="D233" s="11">
        <v>62.77</v>
      </c>
    </row>
    <row r="234" spans="1:4" x14ac:dyDescent="0.35">
      <c r="A234" s="4">
        <v>42856</v>
      </c>
      <c r="B234" s="5">
        <v>616</v>
      </c>
      <c r="C234" s="5">
        <v>61072990</v>
      </c>
      <c r="D234" s="11">
        <v>172.13</v>
      </c>
    </row>
    <row r="235" spans="1:4" x14ac:dyDescent="0.35">
      <c r="A235" s="4">
        <v>43770</v>
      </c>
      <c r="B235" s="5">
        <v>724</v>
      </c>
      <c r="C235" s="5">
        <v>62044190</v>
      </c>
      <c r="D235" s="11">
        <v>0.11</v>
      </c>
    </row>
    <row r="236" spans="1:4" x14ac:dyDescent="0.35">
      <c r="A236" s="4">
        <v>45839</v>
      </c>
      <c r="B236" s="5">
        <v>752</v>
      </c>
      <c r="C236" s="5">
        <v>33019090</v>
      </c>
      <c r="D236" s="11">
        <v>0.01</v>
      </c>
    </row>
    <row r="237" spans="1:4" x14ac:dyDescent="0.35">
      <c r="A237" s="4">
        <v>44075</v>
      </c>
      <c r="B237" s="5">
        <v>276</v>
      </c>
      <c r="C237" s="5">
        <v>42034090</v>
      </c>
      <c r="D237" s="11">
        <v>10.3</v>
      </c>
    </row>
    <row r="238" spans="1:4" x14ac:dyDescent="0.35">
      <c r="A238" s="4">
        <v>45413</v>
      </c>
      <c r="B238" s="5">
        <v>276</v>
      </c>
      <c r="C238" s="5">
        <v>90049090</v>
      </c>
      <c r="D238" s="11">
        <v>0.22</v>
      </c>
    </row>
    <row r="239" spans="1:4" x14ac:dyDescent="0.35">
      <c r="A239" s="4">
        <v>45717</v>
      </c>
      <c r="B239" s="5">
        <v>643</v>
      </c>
      <c r="C239" s="5">
        <v>29054500</v>
      </c>
      <c r="D239" s="11">
        <v>7.0000000000000007E-2</v>
      </c>
    </row>
    <row r="240" spans="1:4" x14ac:dyDescent="0.35">
      <c r="A240" s="4">
        <v>43647</v>
      </c>
      <c r="B240" s="5">
        <v>528</v>
      </c>
      <c r="C240" s="5">
        <v>95069990</v>
      </c>
      <c r="D240" s="11">
        <v>75.760000000000005</v>
      </c>
    </row>
    <row r="241" spans="1:4" x14ac:dyDescent="0.35">
      <c r="A241" s="4">
        <v>43374</v>
      </c>
      <c r="B241" s="5">
        <v>380</v>
      </c>
      <c r="C241" s="5">
        <v>73181110</v>
      </c>
      <c r="D241" s="11">
        <v>4.16</v>
      </c>
    </row>
    <row r="242" spans="1:4" x14ac:dyDescent="0.35">
      <c r="A242" s="4">
        <v>43556</v>
      </c>
      <c r="B242" s="5">
        <v>528</v>
      </c>
      <c r="C242" s="5">
        <v>62029290</v>
      </c>
      <c r="D242" s="11">
        <v>0.12</v>
      </c>
    </row>
    <row r="243" spans="1:4" x14ac:dyDescent="0.35">
      <c r="A243" s="4">
        <v>43405</v>
      </c>
      <c r="B243" s="5">
        <v>826</v>
      </c>
      <c r="C243" s="5">
        <v>4059090</v>
      </c>
      <c r="D243" s="11">
        <v>0.16</v>
      </c>
    </row>
    <row r="244" spans="1:4" x14ac:dyDescent="0.35">
      <c r="A244" s="4">
        <v>43070</v>
      </c>
      <c r="B244" s="5">
        <v>826</v>
      </c>
      <c r="C244" s="5">
        <v>33029090</v>
      </c>
      <c r="D244" s="11">
        <v>2.73</v>
      </c>
    </row>
    <row r="245" spans="1:4" x14ac:dyDescent="0.35">
      <c r="A245" s="4">
        <v>42614</v>
      </c>
      <c r="B245" s="5">
        <v>40</v>
      </c>
      <c r="C245" s="5">
        <v>68159990</v>
      </c>
      <c r="D245" s="11">
        <v>18.350000000000001</v>
      </c>
    </row>
    <row r="246" spans="1:4" x14ac:dyDescent="0.35">
      <c r="A246" s="4">
        <v>44044</v>
      </c>
      <c r="B246" s="5">
        <v>208</v>
      </c>
      <c r="C246" s="5">
        <v>95066210</v>
      </c>
      <c r="D246" s="11">
        <v>1.1599999999999999</v>
      </c>
    </row>
    <row r="247" spans="1:4" x14ac:dyDescent="0.35">
      <c r="A247" s="4">
        <v>44317</v>
      </c>
      <c r="B247" s="5">
        <v>8</v>
      </c>
      <c r="C247" s="5">
        <v>85122010</v>
      </c>
      <c r="D247" s="11">
        <v>0.89</v>
      </c>
    </row>
    <row r="248" spans="1:4" x14ac:dyDescent="0.35">
      <c r="A248" s="4">
        <v>45809</v>
      </c>
      <c r="B248" s="5">
        <v>246</v>
      </c>
      <c r="C248" s="5">
        <v>42021290</v>
      </c>
      <c r="D248" s="11">
        <v>0.04</v>
      </c>
    </row>
    <row r="249" spans="1:4" x14ac:dyDescent="0.35">
      <c r="A249" s="4">
        <v>45413</v>
      </c>
      <c r="B249" s="5">
        <v>372</v>
      </c>
      <c r="C249" s="5">
        <v>85469090</v>
      </c>
      <c r="D249" s="11">
        <v>0.01</v>
      </c>
    </row>
    <row r="250" spans="1:4" x14ac:dyDescent="0.35">
      <c r="A250" s="4">
        <v>45566</v>
      </c>
      <c r="B250" s="5">
        <v>250</v>
      </c>
      <c r="C250" s="5">
        <v>29393000</v>
      </c>
      <c r="D250" s="11">
        <v>0.98</v>
      </c>
    </row>
    <row r="251" spans="1:4" x14ac:dyDescent="0.35">
      <c r="A251" s="4">
        <v>42401</v>
      </c>
      <c r="B251" s="5">
        <v>616</v>
      </c>
      <c r="C251" s="5">
        <v>32041216</v>
      </c>
      <c r="D251" s="11">
        <v>3.36</v>
      </c>
    </row>
    <row r="252" spans="1:4" x14ac:dyDescent="0.35">
      <c r="A252" s="4">
        <v>42614</v>
      </c>
      <c r="B252" s="5">
        <v>578</v>
      </c>
      <c r="C252" s="5">
        <v>48236900</v>
      </c>
      <c r="D252" s="11">
        <v>0.28000000000000003</v>
      </c>
    </row>
    <row r="253" spans="1:4" x14ac:dyDescent="0.35">
      <c r="A253" s="4">
        <v>42278</v>
      </c>
      <c r="B253" s="5">
        <v>250</v>
      </c>
      <c r="C253" s="5">
        <v>9011112</v>
      </c>
      <c r="D253" s="11">
        <v>77.849999999999994</v>
      </c>
    </row>
    <row r="254" spans="1:4" x14ac:dyDescent="0.35">
      <c r="A254" s="4">
        <v>45474</v>
      </c>
      <c r="B254" s="5">
        <v>578</v>
      </c>
      <c r="C254" s="5">
        <v>44199090</v>
      </c>
      <c r="D254" s="11">
        <v>0.26</v>
      </c>
    </row>
    <row r="255" spans="1:4" x14ac:dyDescent="0.35">
      <c r="A255" s="4">
        <v>43070</v>
      </c>
      <c r="B255" s="5">
        <v>756</v>
      </c>
      <c r="C255" s="5">
        <v>29419090</v>
      </c>
      <c r="D255" s="11">
        <v>442.22</v>
      </c>
    </row>
    <row r="256" spans="1:4" x14ac:dyDescent="0.35">
      <c r="A256" s="4">
        <v>45658</v>
      </c>
      <c r="B256" s="5">
        <v>470</v>
      </c>
      <c r="C256" s="5">
        <v>40129049</v>
      </c>
      <c r="D256" s="11">
        <v>0</v>
      </c>
    </row>
    <row r="257" spans="1:4" x14ac:dyDescent="0.35">
      <c r="A257" s="4">
        <v>43466</v>
      </c>
      <c r="B257" s="5">
        <v>756</v>
      </c>
      <c r="C257" s="5">
        <v>87114010</v>
      </c>
      <c r="D257" s="11">
        <v>75.77</v>
      </c>
    </row>
    <row r="258" spans="1:4" x14ac:dyDescent="0.35">
      <c r="A258" s="4">
        <v>42795</v>
      </c>
      <c r="B258" s="5">
        <v>528</v>
      </c>
      <c r="C258" s="5">
        <v>30041030</v>
      </c>
      <c r="D258" s="11">
        <v>46.64</v>
      </c>
    </row>
    <row r="259" spans="1:4" x14ac:dyDescent="0.35">
      <c r="A259" s="4">
        <v>42917</v>
      </c>
      <c r="B259" s="5">
        <v>643</v>
      </c>
      <c r="C259" s="5">
        <v>35069910</v>
      </c>
      <c r="D259" s="11">
        <v>1.39</v>
      </c>
    </row>
    <row r="260" spans="1:4" x14ac:dyDescent="0.35">
      <c r="A260" s="4">
        <v>42705</v>
      </c>
      <c r="B260" s="5">
        <v>250</v>
      </c>
      <c r="C260" s="5">
        <v>52122500</v>
      </c>
      <c r="D260" s="11">
        <v>8.65</v>
      </c>
    </row>
    <row r="261" spans="1:4" x14ac:dyDescent="0.35">
      <c r="A261" s="4">
        <v>45627</v>
      </c>
      <c r="B261" s="5">
        <v>528</v>
      </c>
      <c r="C261" s="5">
        <v>68138900</v>
      </c>
      <c r="D261" s="11">
        <v>0.56000000000000005</v>
      </c>
    </row>
    <row r="262" spans="1:4" x14ac:dyDescent="0.35">
      <c r="A262" s="4">
        <v>43435</v>
      </c>
      <c r="B262" s="5">
        <v>756</v>
      </c>
      <c r="C262" s="5">
        <v>9042229</v>
      </c>
      <c r="D262" s="11">
        <v>0.19</v>
      </c>
    </row>
    <row r="263" spans="1:4" x14ac:dyDescent="0.35">
      <c r="A263" s="4">
        <v>43556</v>
      </c>
      <c r="B263" s="5">
        <v>826</v>
      </c>
      <c r="C263" s="5">
        <v>42022990</v>
      </c>
      <c r="D263" s="11">
        <v>128.56</v>
      </c>
    </row>
    <row r="264" spans="1:4" x14ac:dyDescent="0.35">
      <c r="A264" s="4">
        <v>44470</v>
      </c>
      <c r="B264" s="5">
        <v>616</v>
      </c>
      <c r="C264" s="5">
        <v>84139190</v>
      </c>
      <c r="D264" s="11">
        <v>111.12</v>
      </c>
    </row>
    <row r="265" spans="1:4" x14ac:dyDescent="0.35">
      <c r="A265" s="4">
        <v>42064</v>
      </c>
      <c r="B265" s="5">
        <v>233</v>
      </c>
      <c r="C265" s="5">
        <v>62114290</v>
      </c>
      <c r="D265" s="11">
        <v>10.23</v>
      </c>
    </row>
    <row r="266" spans="1:4" x14ac:dyDescent="0.35">
      <c r="A266" s="4">
        <v>43009</v>
      </c>
      <c r="B266" s="5">
        <v>300</v>
      </c>
      <c r="C266" s="5">
        <v>85030090</v>
      </c>
      <c r="D266" s="11">
        <v>19.82</v>
      </c>
    </row>
    <row r="267" spans="1:4" x14ac:dyDescent="0.35">
      <c r="A267" s="4">
        <v>43374</v>
      </c>
      <c r="B267" s="5">
        <v>276</v>
      </c>
      <c r="C267" s="5">
        <v>11042900</v>
      </c>
      <c r="D267" s="11">
        <v>5.95</v>
      </c>
    </row>
    <row r="268" spans="1:4" x14ac:dyDescent="0.35">
      <c r="A268" s="4">
        <v>42278</v>
      </c>
      <c r="B268" s="5">
        <v>724</v>
      </c>
      <c r="C268" s="5">
        <v>73251000</v>
      </c>
      <c r="D268" s="11">
        <v>580.63</v>
      </c>
    </row>
    <row r="269" spans="1:4" x14ac:dyDescent="0.35">
      <c r="A269" s="4">
        <v>43525</v>
      </c>
      <c r="B269" s="5">
        <v>56</v>
      </c>
      <c r="C269" s="5">
        <v>30049091</v>
      </c>
      <c r="D269" s="11">
        <v>35.06</v>
      </c>
    </row>
    <row r="270" spans="1:4" x14ac:dyDescent="0.35">
      <c r="A270" s="4">
        <v>43922</v>
      </c>
      <c r="B270" s="5">
        <v>804</v>
      </c>
      <c r="C270" s="5">
        <v>32159090</v>
      </c>
      <c r="D270" s="11">
        <v>44.34</v>
      </c>
    </row>
    <row r="271" spans="1:4" x14ac:dyDescent="0.35">
      <c r="A271" s="4">
        <v>44317</v>
      </c>
      <c r="B271" s="5">
        <v>380</v>
      </c>
      <c r="C271" s="5">
        <v>9109939</v>
      </c>
      <c r="D271" s="11">
        <v>0.92</v>
      </c>
    </row>
    <row r="272" spans="1:4" x14ac:dyDescent="0.35">
      <c r="A272" s="4">
        <v>42767</v>
      </c>
      <c r="B272" s="5">
        <v>826</v>
      </c>
      <c r="C272" s="5">
        <v>39073090</v>
      </c>
      <c r="D272" s="11">
        <v>0.01</v>
      </c>
    </row>
    <row r="273" spans="1:4" x14ac:dyDescent="0.35">
      <c r="A273" s="4">
        <v>42856</v>
      </c>
      <c r="B273" s="5">
        <v>826</v>
      </c>
      <c r="C273" s="5">
        <v>52121300</v>
      </c>
      <c r="D273" s="11">
        <v>30.59</v>
      </c>
    </row>
    <row r="274" spans="1:4" x14ac:dyDescent="0.35">
      <c r="A274" s="4">
        <v>44409</v>
      </c>
      <c r="B274" s="5">
        <v>642</v>
      </c>
      <c r="C274" s="5">
        <v>62046110</v>
      </c>
      <c r="D274" s="11">
        <v>0.26</v>
      </c>
    </row>
    <row r="275" spans="1:4" x14ac:dyDescent="0.35">
      <c r="A275" s="4">
        <v>43647</v>
      </c>
      <c r="B275" s="5">
        <v>752</v>
      </c>
      <c r="C275" s="5">
        <v>52083290</v>
      </c>
      <c r="D275" s="11">
        <v>0.87</v>
      </c>
    </row>
    <row r="276" spans="1:4" x14ac:dyDescent="0.35">
      <c r="A276" s="4">
        <v>45778</v>
      </c>
      <c r="B276" s="5">
        <v>752</v>
      </c>
      <c r="C276" s="5">
        <v>57024110</v>
      </c>
      <c r="D276" s="11">
        <v>0</v>
      </c>
    </row>
    <row r="277" spans="1:4" x14ac:dyDescent="0.35">
      <c r="A277" s="4">
        <v>42125</v>
      </c>
      <c r="B277" s="5">
        <v>233</v>
      </c>
      <c r="C277" s="5">
        <v>85177090</v>
      </c>
      <c r="D277" s="11">
        <v>3.83</v>
      </c>
    </row>
    <row r="278" spans="1:4" x14ac:dyDescent="0.35">
      <c r="A278" s="4">
        <v>42826</v>
      </c>
      <c r="B278" s="5">
        <v>276</v>
      </c>
      <c r="C278" s="5">
        <v>28332500</v>
      </c>
      <c r="D278" s="11">
        <v>0.04</v>
      </c>
    </row>
    <row r="279" spans="1:4" x14ac:dyDescent="0.35">
      <c r="A279" s="4">
        <v>42644</v>
      </c>
      <c r="B279" s="5">
        <v>276</v>
      </c>
      <c r="C279" s="5">
        <v>84133030</v>
      </c>
      <c r="D279" s="11">
        <v>10.47</v>
      </c>
    </row>
    <row r="280" spans="1:4" x14ac:dyDescent="0.35">
      <c r="A280" s="4">
        <v>45505</v>
      </c>
      <c r="B280" s="5">
        <v>276</v>
      </c>
      <c r="C280" s="5">
        <v>84029090</v>
      </c>
      <c r="D280" s="11">
        <v>0.24</v>
      </c>
    </row>
    <row r="281" spans="1:4" x14ac:dyDescent="0.35">
      <c r="A281" s="4">
        <v>43282</v>
      </c>
      <c r="B281" s="5">
        <v>616</v>
      </c>
      <c r="C281" s="5">
        <v>38210000</v>
      </c>
      <c r="D281" s="11">
        <v>18.87</v>
      </c>
    </row>
    <row r="282" spans="1:4" x14ac:dyDescent="0.35">
      <c r="A282" s="4">
        <v>43132</v>
      </c>
      <c r="B282" s="5">
        <v>756</v>
      </c>
      <c r="C282" s="5">
        <v>40139030</v>
      </c>
      <c r="D282" s="11">
        <v>0.14000000000000001</v>
      </c>
    </row>
    <row r="283" spans="1:4" x14ac:dyDescent="0.35">
      <c r="A283" s="4">
        <v>44440</v>
      </c>
      <c r="B283" s="5">
        <v>191</v>
      </c>
      <c r="C283" s="5">
        <v>73071190</v>
      </c>
      <c r="D283" s="11">
        <v>0.08</v>
      </c>
    </row>
    <row r="284" spans="1:4" x14ac:dyDescent="0.35">
      <c r="A284" s="4">
        <v>43282</v>
      </c>
      <c r="B284" s="5">
        <v>70</v>
      </c>
      <c r="C284" s="5">
        <v>25161100</v>
      </c>
      <c r="D284" s="11">
        <v>33.159999999999997</v>
      </c>
    </row>
    <row r="285" spans="1:4" x14ac:dyDescent="0.35">
      <c r="A285" s="4">
        <v>44105</v>
      </c>
      <c r="B285" s="5">
        <v>191</v>
      </c>
      <c r="C285" s="5">
        <v>29232010</v>
      </c>
      <c r="D285" s="11">
        <v>9.5500000000000007</v>
      </c>
    </row>
    <row r="286" spans="1:4" x14ac:dyDescent="0.35">
      <c r="A286" s="4">
        <v>43617</v>
      </c>
      <c r="B286" s="5">
        <v>826</v>
      </c>
      <c r="C286" s="5">
        <v>71131190</v>
      </c>
      <c r="D286" s="11">
        <v>48.01</v>
      </c>
    </row>
    <row r="287" spans="1:4" x14ac:dyDescent="0.35">
      <c r="A287" s="4">
        <v>43132</v>
      </c>
      <c r="B287" s="5">
        <v>250</v>
      </c>
      <c r="C287" s="5">
        <v>20079910</v>
      </c>
      <c r="D287" s="11">
        <v>101.57</v>
      </c>
    </row>
    <row r="288" spans="1:4" x14ac:dyDescent="0.35">
      <c r="A288" s="4">
        <v>43586</v>
      </c>
      <c r="B288" s="5">
        <v>250</v>
      </c>
      <c r="C288" s="5">
        <v>15162039</v>
      </c>
      <c r="D288" s="11">
        <v>67.33</v>
      </c>
    </row>
    <row r="289" spans="1:4" x14ac:dyDescent="0.35">
      <c r="A289" s="4">
        <v>45413</v>
      </c>
      <c r="B289" s="5">
        <v>643</v>
      </c>
      <c r="C289" s="5">
        <v>98020000</v>
      </c>
      <c r="D289" s="11">
        <v>3.36</v>
      </c>
    </row>
    <row r="290" spans="1:4" x14ac:dyDescent="0.35">
      <c r="A290" s="4">
        <v>45748</v>
      </c>
      <c r="B290" s="5">
        <v>56</v>
      </c>
      <c r="C290" s="5">
        <v>85044030</v>
      </c>
      <c r="D290" s="11">
        <v>0.02</v>
      </c>
    </row>
    <row r="291" spans="1:4" x14ac:dyDescent="0.35">
      <c r="A291" s="4">
        <v>43617</v>
      </c>
      <c r="B291" s="5">
        <v>826</v>
      </c>
      <c r="C291" s="5">
        <v>94035010</v>
      </c>
      <c r="D291" s="11">
        <v>0.47</v>
      </c>
    </row>
    <row r="292" spans="1:4" x14ac:dyDescent="0.35">
      <c r="A292" s="4">
        <v>44287</v>
      </c>
      <c r="B292" s="5">
        <v>208</v>
      </c>
      <c r="C292" s="5">
        <v>84139120</v>
      </c>
      <c r="D292" s="11">
        <v>52.74</v>
      </c>
    </row>
    <row r="293" spans="1:4" x14ac:dyDescent="0.35">
      <c r="A293" s="4">
        <v>43556</v>
      </c>
      <c r="B293" s="5">
        <v>528</v>
      </c>
      <c r="C293" s="5">
        <v>20098910</v>
      </c>
      <c r="D293" s="11">
        <v>144.33000000000001</v>
      </c>
    </row>
    <row r="294" spans="1:4" x14ac:dyDescent="0.35">
      <c r="A294" s="4">
        <v>43770</v>
      </c>
      <c r="B294" s="5">
        <v>756</v>
      </c>
      <c r="C294" s="5">
        <v>84211930</v>
      </c>
      <c r="D294" s="11">
        <v>74.849999999999994</v>
      </c>
    </row>
    <row r="295" spans="1:4" x14ac:dyDescent="0.35">
      <c r="A295" s="4">
        <v>42248</v>
      </c>
      <c r="B295" s="5">
        <v>528</v>
      </c>
      <c r="C295" s="5">
        <v>30042013</v>
      </c>
      <c r="D295" s="11">
        <v>46.69</v>
      </c>
    </row>
    <row r="296" spans="1:4" x14ac:dyDescent="0.35">
      <c r="A296" s="4">
        <v>42736</v>
      </c>
      <c r="B296" s="5">
        <v>276</v>
      </c>
      <c r="C296" s="5">
        <v>84828000</v>
      </c>
      <c r="D296" s="11">
        <v>601.91999999999996</v>
      </c>
    </row>
    <row r="297" spans="1:4" x14ac:dyDescent="0.35">
      <c r="A297" s="4">
        <v>44317</v>
      </c>
      <c r="B297" s="5">
        <v>620</v>
      </c>
      <c r="C297" s="5">
        <v>32041740</v>
      </c>
      <c r="D297" s="11">
        <v>222.89</v>
      </c>
    </row>
    <row r="298" spans="1:4" x14ac:dyDescent="0.35">
      <c r="A298" s="4">
        <v>44501</v>
      </c>
      <c r="B298" s="5">
        <v>300</v>
      </c>
      <c r="C298" s="5">
        <v>40114090</v>
      </c>
      <c r="D298" s="11">
        <v>19.27</v>
      </c>
    </row>
    <row r="299" spans="1:4" x14ac:dyDescent="0.35">
      <c r="A299" s="4">
        <v>43709</v>
      </c>
      <c r="B299" s="5">
        <v>826</v>
      </c>
      <c r="C299" s="5">
        <v>8072000</v>
      </c>
      <c r="D299" s="11">
        <v>0.01</v>
      </c>
    </row>
    <row r="300" spans="1:4" x14ac:dyDescent="0.35">
      <c r="A300" s="4">
        <v>42401</v>
      </c>
      <c r="B300" s="5">
        <v>756</v>
      </c>
      <c r="C300" s="5">
        <v>87089300</v>
      </c>
      <c r="D300" s="11">
        <v>8.68</v>
      </c>
    </row>
    <row r="301" spans="1:4" x14ac:dyDescent="0.35">
      <c r="A301" s="4">
        <v>45413</v>
      </c>
      <c r="B301" s="5">
        <v>528</v>
      </c>
      <c r="C301" s="5">
        <v>32041561</v>
      </c>
      <c r="D301" s="11">
        <v>0.1</v>
      </c>
    </row>
    <row r="302" spans="1:4" x14ac:dyDescent="0.35">
      <c r="A302" s="4">
        <v>44531</v>
      </c>
      <c r="B302" s="5">
        <v>826</v>
      </c>
      <c r="C302" s="5">
        <v>72230010</v>
      </c>
      <c r="D302" s="11">
        <v>11.96</v>
      </c>
    </row>
    <row r="303" spans="1:4" x14ac:dyDescent="0.35">
      <c r="A303" s="4">
        <v>44256</v>
      </c>
      <c r="B303" s="5">
        <v>724</v>
      </c>
      <c r="C303" s="5">
        <v>29041090</v>
      </c>
      <c r="D303" s="11">
        <v>71.72</v>
      </c>
    </row>
    <row r="304" spans="1:4" x14ac:dyDescent="0.35">
      <c r="A304" s="4">
        <v>42675</v>
      </c>
      <c r="B304" s="5">
        <v>276</v>
      </c>
      <c r="C304" s="5">
        <v>33019024</v>
      </c>
      <c r="D304" s="11">
        <v>5.07</v>
      </c>
    </row>
    <row r="305" spans="1:4" x14ac:dyDescent="0.35">
      <c r="A305" s="4">
        <v>42339</v>
      </c>
      <c r="B305" s="5">
        <v>372</v>
      </c>
      <c r="C305" s="5">
        <v>90330000</v>
      </c>
      <c r="D305" s="11">
        <v>1.99</v>
      </c>
    </row>
    <row r="306" spans="1:4" x14ac:dyDescent="0.35">
      <c r="A306" s="4">
        <v>44378</v>
      </c>
      <c r="B306" s="5">
        <v>724</v>
      </c>
      <c r="C306" s="5">
        <v>2023000</v>
      </c>
      <c r="D306" s="11">
        <v>0.05</v>
      </c>
    </row>
    <row r="307" spans="1:4" x14ac:dyDescent="0.35">
      <c r="A307" s="4">
        <v>45413</v>
      </c>
      <c r="B307" s="5">
        <v>246</v>
      </c>
      <c r="C307" s="5">
        <v>62045919</v>
      </c>
      <c r="D307" s="11">
        <v>0</v>
      </c>
    </row>
    <row r="308" spans="1:4" x14ac:dyDescent="0.35">
      <c r="A308" s="4">
        <v>43525</v>
      </c>
      <c r="B308" s="5">
        <v>578</v>
      </c>
      <c r="C308" s="5">
        <v>55081000</v>
      </c>
      <c r="D308" s="11">
        <v>59.29</v>
      </c>
    </row>
    <row r="309" spans="1:4" x14ac:dyDescent="0.35">
      <c r="A309" s="4">
        <v>45809</v>
      </c>
      <c r="B309" s="5">
        <v>528</v>
      </c>
      <c r="C309" s="5">
        <v>90258090</v>
      </c>
      <c r="D309" s="11">
        <v>0.01</v>
      </c>
    </row>
    <row r="310" spans="1:4" x14ac:dyDescent="0.35">
      <c r="A310" s="4">
        <v>45597</v>
      </c>
      <c r="B310" s="5">
        <v>40</v>
      </c>
      <c r="C310" s="5">
        <v>73201019</v>
      </c>
      <c r="D310" s="11">
        <v>0.01</v>
      </c>
    </row>
    <row r="311" spans="1:4" x14ac:dyDescent="0.35">
      <c r="A311" s="4">
        <v>44317</v>
      </c>
      <c r="B311" s="5">
        <v>703</v>
      </c>
      <c r="C311" s="5">
        <v>76109010</v>
      </c>
      <c r="D311" s="11">
        <v>3.69</v>
      </c>
    </row>
    <row r="312" spans="1:4" x14ac:dyDescent="0.35">
      <c r="A312" s="4">
        <v>44256</v>
      </c>
      <c r="B312" s="5">
        <v>246</v>
      </c>
      <c r="C312" s="5">
        <v>57050023</v>
      </c>
      <c r="D312" s="11">
        <v>26.86</v>
      </c>
    </row>
    <row r="313" spans="1:4" x14ac:dyDescent="0.35">
      <c r="A313" s="4">
        <v>43800</v>
      </c>
      <c r="B313" s="5">
        <v>250</v>
      </c>
      <c r="C313" s="5">
        <v>28111990</v>
      </c>
      <c r="D313" s="11">
        <v>0.02</v>
      </c>
    </row>
    <row r="314" spans="1:4" x14ac:dyDescent="0.35">
      <c r="A314" s="4">
        <v>42795</v>
      </c>
      <c r="B314" s="5">
        <v>380</v>
      </c>
      <c r="C314" s="5">
        <v>72023000</v>
      </c>
      <c r="D314" s="11">
        <v>2654.55</v>
      </c>
    </row>
    <row r="315" spans="1:4" x14ac:dyDescent="0.35">
      <c r="A315" s="4">
        <v>45536</v>
      </c>
      <c r="B315" s="5">
        <v>826</v>
      </c>
      <c r="C315" s="5">
        <v>71123000</v>
      </c>
      <c r="D315" s="11">
        <v>2.08</v>
      </c>
    </row>
    <row r="316" spans="1:4" x14ac:dyDescent="0.35">
      <c r="A316" s="4">
        <v>42095</v>
      </c>
      <c r="B316" s="6" t="s">
        <v>173</v>
      </c>
      <c r="C316" s="5">
        <v>34029099</v>
      </c>
      <c r="D316" s="11">
        <v>0.66</v>
      </c>
    </row>
    <row r="317" spans="1:4" x14ac:dyDescent="0.35">
      <c r="A317" s="4">
        <v>43678</v>
      </c>
      <c r="B317" s="5">
        <v>756</v>
      </c>
      <c r="C317" s="5">
        <v>90153090</v>
      </c>
      <c r="D317" s="11">
        <v>0.04</v>
      </c>
    </row>
    <row r="318" spans="1:4" x14ac:dyDescent="0.35">
      <c r="A318" s="4">
        <v>42644</v>
      </c>
      <c r="B318" s="5">
        <v>380</v>
      </c>
      <c r="C318" s="5">
        <v>94035090</v>
      </c>
      <c r="D318" s="11">
        <v>2.06</v>
      </c>
    </row>
    <row r="319" spans="1:4" x14ac:dyDescent="0.35">
      <c r="A319" s="4">
        <v>43862</v>
      </c>
      <c r="B319" s="5">
        <v>724</v>
      </c>
      <c r="C319" s="5">
        <v>72091520</v>
      </c>
      <c r="D319" s="11">
        <v>0.04</v>
      </c>
    </row>
    <row r="320" spans="1:4" x14ac:dyDescent="0.35">
      <c r="A320" s="4">
        <v>43647</v>
      </c>
      <c r="B320" s="5">
        <v>826</v>
      </c>
      <c r="C320" s="5">
        <v>29321990</v>
      </c>
      <c r="D320" s="11">
        <v>10.8</v>
      </c>
    </row>
    <row r="321" spans="1:4" x14ac:dyDescent="0.35">
      <c r="A321" s="4">
        <v>45839</v>
      </c>
      <c r="B321" s="5">
        <v>826</v>
      </c>
      <c r="C321" s="5">
        <v>9103020</v>
      </c>
      <c r="D321" s="11">
        <v>0.92</v>
      </c>
    </row>
    <row r="322" spans="1:4" x14ac:dyDescent="0.35">
      <c r="A322" s="4">
        <v>42186</v>
      </c>
      <c r="B322" s="5">
        <v>380</v>
      </c>
      <c r="C322" s="5">
        <v>82077090</v>
      </c>
      <c r="D322" s="11">
        <v>2.1800000000000002</v>
      </c>
    </row>
    <row r="323" spans="1:4" x14ac:dyDescent="0.35">
      <c r="A323" s="4">
        <v>44531</v>
      </c>
      <c r="B323" s="5">
        <v>250</v>
      </c>
      <c r="C323" s="5">
        <v>90141000</v>
      </c>
      <c r="D323" s="11">
        <v>2.0699999999999998</v>
      </c>
    </row>
    <row r="324" spans="1:4" x14ac:dyDescent="0.35">
      <c r="A324" s="4">
        <v>44166</v>
      </c>
      <c r="B324" s="5">
        <v>276</v>
      </c>
      <c r="C324" s="5">
        <v>38160000</v>
      </c>
      <c r="D324" s="11">
        <v>1.24</v>
      </c>
    </row>
    <row r="325" spans="1:4" x14ac:dyDescent="0.35">
      <c r="A325" s="4">
        <v>42856</v>
      </c>
      <c r="B325" s="5">
        <v>300</v>
      </c>
      <c r="C325" s="5">
        <v>39122019</v>
      </c>
      <c r="D325" s="11">
        <v>82.87</v>
      </c>
    </row>
    <row r="326" spans="1:4" x14ac:dyDescent="0.35">
      <c r="A326" s="4">
        <v>43862</v>
      </c>
      <c r="B326" s="5">
        <v>826</v>
      </c>
      <c r="C326" s="5">
        <v>63024030</v>
      </c>
      <c r="D326" s="11">
        <v>125.39</v>
      </c>
    </row>
    <row r="327" spans="1:4" x14ac:dyDescent="0.35">
      <c r="A327" s="4">
        <v>45627</v>
      </c>
      <c r="B327" s="5">
        <v>528</v>
      </c>
      <c r="C327" s="5">
        <v>39233010</v>
      </c>
      <c r="D327" s="11">
        <v>0.01</v>
      </c>
    </row>
    <row r="328" spans="1:4" x14ac:dyDescent="0.35">
      <c r="A328" s="4">
        <v>43160</v>
      </c>
      <c r="B328" s="5">
        <v>208</v>
      </c>
      <c r="C328" s="5">
        <v>30061020</v>
      </c>
      <c r="D328" s="11">
        <v>0.28999999999999998</v>
      </c>
    </row>
    <row r="329" spans="1:4" x14ac:dyDescent="0.35">
      <c r="A329" s="4">
        <v>43405</v>
      </c>
      <c r="B329" s="5">
        <v>826</v>
      </c>
      <c r="C329" s="5">
        <v>84839000</v>
      </c>
      <c r="D329" s="11">
        <v>296.10000000000002</v>
      </c>
    </row>
    <row r="330" spans="1:4" x14ac:dyDescent="0.35">
      <c r="A330" s="4">
        <v>43770</v>
      </c>
      <c r="B330" s="5">
        <v>752</v>
      </c>
      <c r="C330" s="5">
        <v>57029110</v>
      </c>
      <c r="D330" s="11">
        <v>0.06</v>
      </c>
    </row>
    <row r="331" spans="1:4" x14ac:dyDescent="0.35">
      <c r="A331" s="4">
        <v>43374</v>
      </c>
      <c r="B331" s="5">
        <v>826</v>
      </c>
      <c r="C331" s="5">
        <v>7133200</v>
      </c>
      <c r="D331" s="11">
        <v>1.19</v>
      </c>
    </row>
    <row r="332" spans="1:4" x14ac:dyDescent="0.35">
      <c r="A332" s="4">
        <v>42370</v>
      </c>
      <c r="B332" s="5">
        <v>250</v>
      </c>
      <c r="C332" s="5">
        <v>84836090</v>
      </c>
      <c r="D332" s="11">
        <v>61.73</v>
      </c>
    </row>
    <row r="333" spans="1:4" x14ac:dyDescent="0.35">
      <c r="A333" s="4">
        <v>44317</v>
      </c>
      <c r="B333" s="5">
        <v>620</v>
      </c>
      <c r="C333" s="5">
        <v>84248200</v>
      </c>
      <c r="D333" s="11">
        <v>18.600000000000001</v>
      </c>
    </row>
    <row r="334" spans="1:4" x14ac:dyDescent="0.35">
      <c r="A334" s="4">
        <v>43344</v>
      </c>
      <c r="B334" s="5">
        <v>643</v>
      </c>
      <c r="C334" s="5">
        <v>40117000</v>
      </c>
      <c r="D334" s="11">
        <v>416.18</v>
      </c>
    </row>
    <row r="335" spans="1:4" x14ac:dyDescent="0.35">
      <c r="A335" s="4">
        <v>45413</v>
      </c>
      <c r="B335" s="5">
        <v>724</v>
      </c>
      <c r="C335" s="5">
        <v>32041217</v>
      </c>
      <c r="D335" s="11">
        <v>5.49</v>
      </c>
    </row>
    <row r="336" spans="1:4" x14ac:dyDescent="0.35">
      <c r="A336" s="4">
        <v>42401</v>
      </c>
      <c r="B336" s="5">
        <v>643</v>
      </c>
      <c r="C336" s="5">
        <v>34060010</v>
      </c>
      <c r="D336" s="11">
        <v>0.31</v>
      </c>
    </row>
    <row r="337" spans="1:4" x14ac:dyDescent="0.35">
      <c r="A337" s="4">
        <v>45809</v>
      </c>
      <c r="B337" s="5">
        <v>616</v>
      </c>
      <c r="C337" s="5">
        <v>84669400</v>
      </c>
      <c r="D337" s="11">
        <v>0.22</v>
      </c>
    </row>
    <row r="338" spans="1:4" x14ac:dyDescent="0.35">
      <c r="A338" s="4">
        <v>45505</v>
      </c>
      <c r="B338" s="5">
        <v>380</v>
      </c>
      <c r="C338" s="5">
        <v>84779000</v>
      </c>
      <c r="D338" s="11">
        <v>0.18</v>
      </c>
    </row>
    <row r="339" spans="1:4" x14ac:dyDescent="0.35">
      <c r="A339" s="4">
        <v>43040</v>
      </c>
      <c r="B339" s="5">
        <v>616</v>
      </c>
      <c r="C339" s="5">
        <v>85124000</v>
      </c>
      <c r="D339" s="11">
        <v>3.47</v>
      </c>
    </row>
    <row r="340" spans="1:4" x14ac:dyDescent="0.35">
      <c r="A340" s="4">
        <v>44256</v>
      </c>
      <c r="B340" s="5">
        <v>348</v>
      </c>
      <c r="C340" s="5">
        <v>90183920</v>
      </c>
      <c r="D340" s="11">
        <v>0.97</v>
      </c>
    </row>
    <row r="341" spans="1:4" x14ac:dyDescent="0.35">
      <c r="A341" s="4">
        <v>43344</v>
      </c>
      <c r="B341" s="5">
        <v>528</v>
      </c>
      <c r="C341" s="5">
        <v>30049081</v>
      </c>
      <c r="D341" s="11">
        <v>83.61</v>
      </c>
    </row>
    <row r="342" spans="1:4" x14ac:dyDescent="0.35">
      <c r="A342" s="4">
        <v>45413</v>
      </c>
      <c r="B342" s="5">
        <v>616</v>
      </c>
      <c r="C342" s="5">
        <v>87113020</v>
      </c>
      <c r="D342" s="11">
        <v>1.33</v>
      </c>
    </row>
    <row r="343" spans="1:4" x14ac:dyDescent="0.35">
      <c r="A343" s="4">
        <v>43132</v>
      </c>
      <c r="B343" s="5">
        <v>56</v>
      </c>
      <c r="C343" s="5">
        <v>33030090</v>
      </c>
      <c r="D343" s="11">
        <v>92.52</v>
      </c>
    </row>
    <row r="344" spans="1:4" x14ac:dyDescent="0.35">
      <c r="A344" s="4">
        <v>42583</v>
      </c>
      <c r="B344" s="5">
        <v>528</v>
      </c>
      <c r="C344" s="5">
        <v>84484990</v>
      </c>
      <c r="D344" s="11">
        <v>9.09</v>
      </c>
    </row>
    <row r="345" spans="1:4" x14ac:dyDescent="0.35">
      <c r="A345" s="4">
        <v>45658</v>
      </c>
      <c r="B345" s="5">
        <v>380</v>
      </c>
      <c r="C345" s="5">
        <v>61045990</v>
      </c>
      <c r="D345" s="11">
        <v>0.36</v>
      </c>
    </row>
    <row r="346" spans="1:4" x14ac:dyDescent="0.35">
      <c r="A346" s="4">
        <v>43831</v>
      </c>
      <c r="B346" s="5">
        <v>380</v>
      </c>
      <c r="C346" s="5">
        <v>39262011</v>
      </c>
      <c r="D346" s="11">
        <v>1.9</v>
      </c>
    </row>
    <row r="347" spans="1:4" x14ac:dyDescent="0.35">
      <c r="A347" s="4">
        <v>42826</v>
      </c>
      <c r="B347" s="5">
        <v>703</v>
      </c>
      <c r="C347" s="5">
        <v>68029300</v>
      </c>
      <c r="D347" s="11">
        <v>36.159999999999997</v>
      </c>
    </row>
    <row r="348" spans="1:4" x14ac:dyDescent="0.35">
      <c r="A348" s="4">
        <v>43770</v>
      </c>
      <c r="B348" s="5">
        <v>380</v>
      </c>
      <c r="C348" s="5">
        <v>84137099</v>
      </c>
      <c r="D348" s="11">
        <v>5.53</v>
      </c>
    </row>
    <row r="349" spans="1:4" x14ac:dyDescent="0.35">
      <c r="A349" s="4">
        <v>42736</v>
      </c>
      <c r="B349" s="5">
        <v>643</v>
      </c>
      <c r="C349" s="5">
        <v>12119032</v>
      </c>
      <c r="D349" s="11">
        <v>19.3</v>
      </c>
    </row>
    <row r="350" spans="1:4" x14ac:dyDescent="0.35">
      <c r="A350" s="4">
        <v>43709</v>
      </c>
      <c r="B350" s="5">
        <v>804</v>
      </c>
      <c r="C350" s="5">
        <v>33043000</v>
      </c>
      <c r="D350" s="11">
        <v>8</v>
      </c>
    </row>
    <row r="351" spans="1:4" x14ac:dyDescent="0.35">
      <c r="A351" s="4">
        <v>42644</v>
      </c>
      <c r="B351" s="5">
        <v>724</v>
      </c>
      <c r="C351" s="5">
        <v>28020010</v>
      </c>
      <c r="D351" s="11">
        <v>66.92</v>
      </c>
    </row>
    <row r="352" spans="1:4" x14ac:dyDescent="0.35">
      <c r="A352" s="4">
        <v>42826</v>
      </c>
      <c r="B352" s="5">
        <v>250</v>
      </c>
      <c r="C352" s="5">
        <v>29415000</v>
      </c>
      <c r="D352" s="11">
        <v>629.70000000000005</v>
      </c>
    </row>
    <row r="353" spans="1:4" x14ac:dyDescent="0.35">
      <c r="A353" s="4">
        <v>42339</v>
      </c>
      <c r="B353" s="5">
        <v>642</v>
      </c>
      <c r="C353" s="5">
        <v>84148090</v>
      </c>
      <c r="D353" s="11">
        <v>103.49</v>
      </c>
    </row>
    <row r="354" spans="1:4" x14ac:dyDescent="0.35">
      <c r="A354" s="4">
        <v>43101</v>
      </c>
      <c r="B354" s="5">
        <v>56</v>
      </c>
      <c r="C354" s="5">
        <v>32041610</v>
      </c>
      <c r="D354" s="11">
        <v>3.37</v>
      </c>
    </row>
    <row r="355" spans="1:4" x14ac:dyDescent="0.35">
      <c r="A355" s="4">
        <v>43678</v>
      </c>
      <c r="B355" s="5">
        <v>642</v>
      </c>
      <c r="C355" s="5">
        <v>90183920</v>
      </c>
      <c r="D355" s="11">
        <v>11.18</v>
      </c>
    </row>
    <row r="356" spans="1:4" x14ac:dyDescent="0.35">
      <c r="A356" s="4">
        <v>43313</v>
      </c>
      <c r="B356" s="5">
        <v>528</v>
      </c>
      <c r="C356" s="5">
        <v>90279010</v>
      </c>
      <c r="D356" s="11">
        <v>0.05</v>
      </c>
    </row>
    <row r="357" spans="1:4" x14ac:dyDescent="0.35">
      <c r="A357" s="4">
        <v>42767</v>
      </c>
      <c r="B357" s="5">
        <v>703</v>
      </c>
      <c r="C357" s="5">
        <v>57033020</v>
      </c>
      <c r="D357" s="11">
        <v>2.34</v>
      </c>
    </row>
    <row r="358" spans="1:4" x14ac:dyDescent="0.35">
      <c r="A358" s="4">
        <v>45689</v>
      </c>
      <c r="B358" s="5">
        <v>724</v>
      </c>
      <c r="C358" s="5">
        <v>52091900</v>
      </c>
      <c r="D358" s="11">
        <v>0</v>
      </c>
    </row>
    <row r="359" spans="1:4" x14ac:dyDescent="0.35">
      <c r="A359" s="4">
        <v>43282</v>
      </c>
      <c r="B359" s="5">
        <v>380</v>
      </c>
      <c r="C359" s="5">
        <v>87112029</v>
      </c>
      <c r="D359" s="11">
        <v>2.41</v>
      </c>
    </row>
    <row r="360" spans="1:4" x14ac:dyDescent="0.35">
      <c r="A360" s="4">
        <v>43586</v>
      </c>
      <c r="B360" s="5">
        <v>208</v>
      </c>
      <c r="C360" s="5">
        <v>46021100</v>
      </c>
      <c r="D360" s="11">
        <v>7.74</v>
      </c>
    </row>
    <row r="361" spans="1:4" x14ac:dyDescent="0.35">
      <c r="A361" s="4">
        <v>44440</v>
      </c>
      <c r="B361" s="5">
        <v>826</v>
      </c>
      <c r="C361" s="5">
        <v>68042210</v>
      </c>
      <c r="D361" s="11">
        <v>14.25</v>
      </c>
    </row>
    <row r="362" spans="1:4" x14ac:dyDescent="0.35">
      <c r="A362" s="4">
        <v>44378</v>
      </c>
      <c r="B362" s="5">
        <v>380</v>
      </c>
      <c r="C362" s="5">
        <v>42023190</v>
      </c>
      <c r="D362" s="11">
        <v>222.81</v>
      </c>
    </row>
    <row r="363" spans="1:4" x14ac:dyDescent="0.35">
      <c r="A363" s="4">
        <v>43678</v>
      </c>
      <c r="B363" s="5">
        <v>191</v>
      </c>
      <c r="C363" s="5">
        <v>62045100</v>
      </c>
      <c r="D363" s="11">
        <v>0.74</v>
      </c>
    </row>
    <row r="364" spans="1:4" x14ac:dyDescent="0.35">
      <c r="A364" s="4">
        <v>43132</v>
      </c>
      <c r="B364" s="5">
        <v>276</v>
      </c>
      <c r="C364" s="5">
        <v>56079090</v>
      </c>
      <c r="D364" s="11">
        <v>8.42</v>
      </c>
    </row>
    <row r="365" spans="1:4" x14ac:dyDescent="0.35">
      <c r="A365" s="4">
        <v>45566</v>
      </c>
      <c r="B365" s="5">
        <v>56</v>
      </c>
      <c r="C365" s="5">
        <v>28500010</v>
      </c>
      <c r="D365" s="11">
        <v>0.27</v>
      </c>
    </row>
    <row r="366" spans="1:4" x14ac:dyDescent="0.35">
      <c r="A366" s="4">
        <v>42401</v>
      </c>
      <c r="B366" s="5">
        <v>56</v>
      </c>
      <c r="C366" s="5">
        <v>28259090</v>
      </c>
      <c r="D366" s="11">
        <v>193.93</v>
      </c>
    </row>
    <row r="367" spans="1:4" x14ac:dyDescent="0.35">
      <c r="A367" s="4">
        <v>44287</v>
      </c>
      <c r="B367" s="5">
        <v>208</v>
      </c>
      <c r="C367" s="5">
        <v>52084290</v>
      </c>
      <c r="D367" s="11">
        <v>19.11</v>
      </c>
    </row>
    <row r="368" spans="1:4" x14ac:dyDescent="0.35">
      <c r="A368" s="4">
        <v>44228</v>
      </c>
      <c r="B368" s="5">
        <v>276</v>
      </c>
      <c r="C368" s="5">
        <v>25010020</v>
      </c>
      <c r="D368" s="11">
        <v>2.38</v>
      </c>
    </row>
    <row r="369" spans="1:4" x14ac:dyDescent="0.35">
      <c r="A369" s="4">
        <v>45717</v>
      </c>
      <c r="B369" s="5">
        <v>380</v>
      </c>
      <c r="C369" s="5">
        <v>71039951</v>
      </c>
      <c r="D369" s="11">
        <v>0.32</v>
      </c>
    </row>
    <row r="370" spans="1:4" x14ac:dyDescent="0.35">
      <c r="A370" s="4">
        <v>44470</v>
      </c>
      <c r="B370" s="5">
        <v>643</v>
      </c>
      <c r="C370" s="5">
        <v>7136000</v>
      </c>
      <c r="D370" s="11">
        <v>3.57</v>
      </c>
    </row>
    <row r="371" spans="1:4" x14ac:dyDescent="0.35">
      <c r="A371" s="4">
        <v>42979</v>
      </c>
      <c r="B371" s="5">
        <v>276</v>
      </c>
      <c r="C371" s="5">
        <v>55151290</v>
      </c>
      <c r="D371" s="11">
        <v>16.93</v>
      </c>
    </row>
    <row r="372" spans="1:4" x14ac:dyDescent="0.35">
      <c r="A372" s="4">
        <v>45413</v>
      </c>
      <c r="B372" s="5">
        <v>203</v>
      </c>
      <c r="C372" s="5">
        <v>82041120</v>
      </c>
      <c r="D372" s="11">
        <v>0</v>
      </c>
    </row>
    <row r="373" spans="1:4" x14ac:dyDescent="0.35">
      <c r="A373" s="4">
        <v>42005</v>
      </c>
      <c r="B373" s="5">
        <v>56</v>
      </c>
      <c r="C373" s="5">
        <v>28276090</v>
      </c>
      <c r="D373" s="11">
        <v>1.62</v>
      </c>
    </row>
    <row r="374" spans="1:4" x14ac:dyDescent="0.35">
      <c r="A374" s="4">
        <v>45778</v>
      </c>
      <c r="B374" s="5">
        <v>276</v>
      </c>
      <c r="C374" s="5">
        <v>89071000</v>
      </c>
      <c r="D374" s="11">
        <v>0.19</v>
      </c>
    </row>
    <row r="375" spans="1:4" x14ac:dyDescent="0.35">
      <c r="A375" s="4">
        <v>42552</v>
      </c>
      <c r="B375" s="5">
        <v>250</v>
      </c>
      <c r="C375" s="5">
        <v>44160099</v>
      </c>
      <c r="D375" s="11">
        <v>0.63</v>
      </c>
    </row>
    <row r="376" spans="1:4" x14ac:dyDescent="0.35">
      <c r="A376" s="4">
        <v>43709</v>
      </c>
      <c r="B376" s="5">
        <v>528</v>
      </c>
      <c r="C376" s="5">
        <v>87082900</v>
      </c>
      <c r="D376" s="11">
        <v>87.36</v>
      </c>
    </row>
    <row r="377" spans="1:4" x14ac:dyDescent="0.35">
      <c r="A377" s="4">
        <v>42826</v>
      </c>
      <c r="B377" s="5">
        <v>246</v>
      </c>
      <c r="C377" s="5">
        <v>85332929</v>
      </c>
      <c r="D377" s="11">
        <v>0</v>
      </c>
    </row>
    <row r="378" spans="1:4" x14ac:dyDescent="0.35">
      <c r="A378" s="4">
        <v>44075</v>
      </c>
      <c r="B378" s="5">
        <v>705</v>
      </c>
      <c r="C378" s="5">
        <v>29397990</v>
      </c>
      <c r="D378" s="11">
        <v>281.94</v>
      </c>
    </row>
    <row r="379" spans="1:4" x14ac:dyDescent="0.35">
      <c r="A379" s="4">
        <v>44197</v>
      </c>
      <c r="B379" s="5">
        <v>620</v>
      </c>
      <c r="C379" s="5">
        <v>71039990</v>
      </c>
      <c r="D379" s="11">
        <v>0.2</v>
      </c>
    </row>
    <row r="380" spans="1:4" x14ac:dyDescent="0.35">
      <c r="A380" s="4">
        <v>43709</v>
      </c>
      <c r="B380" s="5">
        <v>380</v>
      </c>
      <c r="C380" s="5">
        <v>29270090</v>
      </c>
      <c r="D380" s="11">
        <v>0.54</v>
      </c>
    </row>
    <row r="381" spans="1:4" x14ac:dyDescent="0.35">
      <c r="A381" s="4">
        <v>42156</v>
      </c>
      <c r="B381" s="5">
        <v>643</v>
      </c>
      <c r="C381" s="5">
        <v>9042219</v>
      </c>
      <c r="D381" s="11">
        <v>37.35</v>
      </c>
    </row>
    <row r="382" spans="1:4" x14ac:dyDescent="0.35">
      <c r="A382" s="4">
        <v>43739</v>
      </c>
      <c r="B382" s="5">
        <v>724</v>
      </c>
      <c r="C382" s="5">
        <v>30029030</v>
      </c>
      <c r="D382" s="11">
        <v>4.32</v>
      </c>
    </row>
    <row r="383" spans="1:4" x14ac:dyDescent="0.35">
      <c r="A383" s="4">
        <v>44287</v>
      </c>
      <c r="B383" s="5">
        <v>56</v>
      </c>
      <c r="C383" s="5">
        <v>29224290</v>
      </c>
      <c r="D383" s="11">
        <v>40.520000000000003</v>
      </c>
    </row>
    <row r="384" spans="1:4" x14ac:dyDescent="0.35">
      <c r="A384" s="4">
        <v>44136</v>
      </c>
      <c r="B384" s="5">
        <v>380</v>
      </c>
      <c r="C384" s="5">
        <v>90183930</v>
      </c>
      <c r="D384" s="11">
        <v>16.309999999999999</v>
      </c>
    </row>
    <row r="385" spans="1:4" x14ac:dyDescent="0.35">
      <c r="A385" s="4">
        <v>45839</v>
      </c>
      <c r="B385" s="5">
        <v>56</v>
      </c>
      <c r="C385" s="5">
        <v>62044220</v>
      </c>
      <c r="D385" s="11">
        <v>0.02</v>
      </c>
    </row>
    <row r="386" spans="1:4" x14ac:dyDescent="0.35">
      <c r="A386" s="4">
        <v>44136</v>
      </c>
      <c r="B386" s="5">
        <v>643</v>
      </c>
      <c r="C386" s="5">
        <v>84099199</v>
      </c>
      <c r="D386" s="11">
        <v>281.10000000000002</v>
      </c>
    </row>
    <row r="387" spans="1:4" x14ac:dyDescent="0.35">
      <c r="A387" s="4">
        <v>45413</v>
      </c>
      <c r="B387" s="5">
        <v>380</v>
      </c>
      <c r="C387" s="5">
        <v>96063010</v>
      </c>
      <c r="D387" s="11">
        <v>2.96</v>
      </c>
    </row>
    <row r="388" spans="1:4" x14ac:dyDescent="0.35">
      <c r="A388" s="4">
        <v>42767</v>
      </c>
      <c r="B388" s="5">
        <v>642</v>
      </c>
      <c r="C388" s="5">
        <v>72104900</v>
      </c>
      <c r="D388" s="11">
        <v>154.46</v>
      </c>
    </row>
    <row r="389" spans="1:4" x14ac:dyDescent="0.35">
      <c r="A389" s="4">
        <v>45413</v>
      </c>
      <c r="B389" s="5">
        <v>826</v>
      </c>
      <c r="C389" s="5">
        <v>39259010</v>
      </c>
      <c r="D389" s="11">
        <v>0.3</v>
      </c>
    </row>
    <row r="390" spans="1:4" x14ac:dyDescent="0.35">
      <c r="A390" s="4">
        <v>42036</v>
      </c>
      <c r="B390" s="5">
        <v>276</v>
      </c>
      <c r="C390" s="5">
        <v>8140000</v>
      </c>
      <c r="D390" s="11">
        <v>10.35</v>
      </c>
    </row>
    <row r="391" spans="1:4" x14ac:dyDescent="0.35">
      <c r="A391" s="4">
        <v>45505</v>
      </c>
      <c r="B391" s="5">
        <v>703</v>
      </c>
      <c r="C391" s="5">
        <v>83016000</v>
      </c>
      <c r="D391" s="11">
        <v>0.33</v>
      </c>
    </row>
    <row r="392" spans="1:4" x14ac:dyDescent="0.35">
      <c r="A392" s="4">
        <v>42186</v>
      </c>
      <c r="B392" s="5">
        <v>380</v>
      </c>
      <c r="C392" s="5">
        <v>85115000</v>
      </c>
      <c r="D392" s="11">
        <v>61.01</v>
      </c>
    </row>
    <row r="393" spans="1:4" x14ac:dyDescent="0.35">
      <c r="A393" s="4">
        <v>45536</v>
      </c>
      <c r="B393" s="5">
        <v>380</v>
      </c>
      <c r="C393" s="5">
        <v>76071190</v>
      </c>
      <c r="D393" s="11">
        <v>4.96</v>
      </c>
    </row>
    <row r="394" spans="1:4" x14ac:dyDescent="0.35">
      <c r="A394" s="4">
        <v>42430</v>
      </c>
      <c r="B394" s="5">
        <v>826</v>
      </c>
      <c r="C394" s="5">
        <v>23040030</v>
      </c>
      <c r="D394" s="11">
        <v>233.73</v>
      </c>
    </row>
    <row r="395" spans="1:4" x14ac:dyDescent="0.35">
      <c r="A395" s="4">
        <v>42095</v>
      </c>
      <c r="B395" s="5">
        <v>56</v>
      </c>
      <c r="C395" s="5">
        <v>55032000</v>
      </c>
      <c r="D395" s="11">
        <v>677.53</v>
      </c>
    </row>
    <row r="396" spans="1:4" x14ac:dyDescent="0.35">
      <c r="A396" s="4">
        <v>44287</v>
      </c>
      <c r="B396" s="5">
        <v>348</v>
      </c>
      <c r="C396" s="5">
        <v>30029090</v>
      </c>
      <c r="D396" s="11">
        <v>21.17</v>
      </c>
    </row>
    <row r="397" spans="1:4" x14ac:dyDescent="0.35">
      <c r="A397" s="4">
        <v>43160</v>
      </c>
      <c r="B397" s="5">
        <v>380</v>
      </c>
      <c r="C397" s="5">
        <v>9011129</v>
      </c>
      <c r="D397" s="11">
        <v>58.39</v>
      </c>
    </row>
    <row r="398" spans="1:4" x14ac:dyDescent="0.35">
      <c r="A398" s="4">
        <v>43770</v>
      </c>
      <c r="B398" s="6" t="s">
        <v>173</v>
      </c>
      <c r="C398" s="5">
        <v>38089400</v>
      </c>
      <c r="D398" s="11">
        <v>2.59</v>
      </c>
    </row>
    <row r="399" spans="1:4" x14ac:dyDescent="0.35">
      <c r="A399" s="4">
        <v>43739</v>
      </c>
      <c r="B399" s="5">
        <v>724</v>
      </c>
      <c r="C399" s="5">
        <v>11010000</v>
      </c>
      <c r="D399" s="11">
        <v>16.62</v>
      </c>
    </row>
    <row r="400" spans="1:4" x14ac:dyDescent="0.35">
      <c r="A400" s="4">
        <v>45413</v>
      </c>
      <c r="B400" s="5">
        <v>100</v>
      </c>
      <c r="C400" s="5">
        <v>90183920</v>
      </c>
      <c r="D400" s="11">
        <v>0.53</v>
      </c>
    </row>
    <row r="401" spans="1:4" x14ac:dyDescent="0.35">
      <c r="A401" s="4">
        <v>43405</v>
      </c>
      <c r="B401" s="5">
        <v>724</v>
      </c>
      <c r="C401" s="5">
        <v>84219900</v>
      </c>
      <c r="D401" s="11">
        <v>684.21</v>
      </c>
    </row>
    <row r="402" spans="1:4" x14ac:dyDescent="0.35">
      <c r="A402" s="4">
        <v>42005</v>
      </c>
      <c r="B402" s="5">
        <v>208</v>
      </c>
      <c r="C402" s="5">
        <v>38089199</v>
      </c>
      <c r="D402" s="11">
        <v>396.17</v>
      </c>
    </row>
    <row r="403" spans="1:4" x14ac:dyDescent="0.35">
      <c r="A403" s="4">
        <v>42156</v>
      </c>
      <c r="B403" s="5">
        <v>276</v>
      </c>
      <c r="C403" s="5">
        <v>52122100</v>
      </c>
      <c r="D403" s="11">
        <v>4.3099999999999996</v>
      </c>
    </row>
    <row r="404" spans="1:4" x14ac:dyDescent="0.35">
      <c r="A404" s="4">
        <v>43983</v>
      </c>
      <c r="B404" s="5">
        <v>724</v>
      </c>
      <c r="C404" s="5">
        <v>40149090</v>
      </c>
      <c r="D404" s="11">
        <v>0.6</v>
      </c>
    </row>
    <row r="405" spans="1:4" x14ac:dyDescent="0.35">
      <c r="A405" s="4">
        <v>44256</v>
      </c>
      <c r="B405" s="5">
        <v>276</v>
      </c>
      <c r="C405" s="5">
        <v>84439100</v>
      </c>
      <c r="D405" s="11">
        <v>29.85</v>
      </c>
    </row>
    <row r="406" spans="1:4" x14ac:dyDescent="0.35">
      <c r="A406" s="4">
        <v>42430</v>
      </c>
      <c r="B406" s="5">
        <v>250</v>
      </c>
      <c r="C406" s="5">
        <v>90138010</v>
      </c>
      <c r="D406" s="11">
        <v>4073.53</v>
      </c>
    </row>
    <row r="407" spans="1:4" x14ac:dyDescent="0.35">
      <c r="A407" s="4">
        <v>45536</v>
      </c>
      <c r="B407" s="5">
        <v>276</v>
      </c>
      <c r="C407" s="5">
        <v>62031200</v>
      </c>
      <c r="D407" s="11">
        <v>0</v>
      </c>
    </row>
    <row r="408" spans="1:4" x14ac:dyDescent="0.35">
      <c r="A408" s="4">
        <v>42309</v>
      </c>
      <c r="B408" s="5">
        <v>56</v>
      </c>
      <c r="C408" s="5">
        <v>48201090</v>
      </c>
      <c r="D408" s="11">
        <v>0.03</v>
      </c>
    </row>
    <row r="409" spans="1:4" x14ac:dyDescent="0.35">
      <c r="A409" s="4">
        <v>42644</v>
      </c>
      <c r="B409" s="5">
        <v>250</v>
      </c>
      <c r="C409" s="5">
        <v>84099191</v>
      </c>
      <c r="D409" s="11">
        <v>1.24</v>
      </c>
    </row>
    <row r="410" spans="1:4" x14ac:dyDescent="0.35">
      <c r="A410" s="4">
        <v>43040</v>
      </c>
      <c r="B410" s="5">
        <v>826</v>
      </c>
      <c r="C410" s="5">
        <v>87142090</v>
      </c>
      <c r="D410" s="11">
        <v>4.55</v>
      </c>
    </row>
    <row r="411" spans="1:4" x14ac:dyDescent="0.35">
      <c r="A411" s="4">
        <v>42278</v>
      </c>
      <c r="B411" s="5">
        <v>56</v>
      </c>
      <c r="C411" s="5">
        <v>29153100</v>
      </c>
      <c r="D411" s="11">
        <v>323.76</v>
      </c>
    </row>
    <row r="412" spans="1:4" x14ac:dyDescent="0.35">
      <c r="A412" s="4">
        <v>42461</v>
      </c>
      <c r="B412" s="5">
        <v>428</v>
      </c>
      <c r="C412" s="5">
        <v>73181500</v>
      </c>
      <c r="D412" s="11">
        <v>13.91</v>
      </c>
    </row>
    <row r="413" spans="1:4" x14ac:dyDescent="0.35">
      <c r="A413" s="4">
        <v>42917</v>
      </c>
      <c r="B413" s="5">
        <v>826</v>
      </c>
      <c r="C413" s="5">
        <v>63079020</v>
      </c>
      <c r="D413" s="11">
        <v>879.66</v>
      </c>
    </row>
    <row r="414" spans="1:4" x14ac:dyDescent="0.35">
      <c r="A414" s="4">
        <v>45505</v>
      </c>
      <c r="B414" s="5">
        <v>752</v>
      </c>
      <c r="C414" s="5">
        <v>83021010</v>
      </c>
      <c r="D414" s="11">
        <v>0</v>
      </c>
    </row>
    <row r="415" spans="1:4" x14ac:dyDescent="0.35">
      <c r="A415" s="4">
        <v>43525</v>
      </c>
      <c r="B415" s="5">
        <v>724</v>
      </c>
      <c r="C415" s="5">
        <v>33012934</v>
      </c>
      <c r="D415" s="11">
        <v>1.52</v>
      </c>
    </row>
    <row r="416" spans="1:4" x14ac:dyDescent="0.35">
      <c r="A416" s="4">
        <v>45627</v>
      </c>
      <c r="B416" s="5">
        <v>826</v>
      </c>
      <c r="C416" s="5">
        <v>72210012</v>
      </c>
      <c r="D416" s="11">
        <v>1.07</v>
      </c>
    </row>
    <row r="417" spans="1:4" x14ac:dyDescent="0.35">
      <c r="A417" s="4">
        <v>42948</v>
      </c>
      <c r="B417" s="5">
        <v>191</v>
      </c>
      <c r="C417" s="5">
        <v>61149090</v>
      </c>
      <c r="D417" s="11">
        <v>5.85</v>
      </c>
    </row>
    <row r="418" spans="1:4" x14ac:dyDescent="0.35">
      <c r="A418" s="4">
        <v>42339</v>
      </c>
      <c r="B418" s="5">
        <v>826</v>
      </c>
      <c r="C418" s="5">
        <v>54083212</v>
      </c>
      <c r="D418" s="11">
        <v>0.61</v>
      </c>
    </row>
    <row r="419" spans="1:4" x14ac:dyDescent="0.35">
      <c r="A419" s="4">
        <v>42644</v>
      </c>
      <c r="B419" s="5">
        <v>380</v>
      </c>
      <c r="C419" s="5">
        <v>38123010</v>
      </c>
      <c r="D419" s="11">
        <v>130</v>
      </c>
    </row>
    <row r="420" spans="1:4" x14ac:dyDescent="0.35">
      <c r="A420" s="4">
        <v>42095</v>
      </c>
      <c r="B420" s="5">
        <v>756</v>
      </c>
      <c r="C420" s="5">
        <v>9083190</v>
      </c>
      <c r="D420" s="11">
        <v>2.08</v>
      </c>
    </row>
    <row r="421" spans="1:4" x14ac:dyDescent="0.35">
      <c r="A421" s="4">
        <v>45778</v>
      </c>
      <c r="B421" s="5">
        <v>826</v>
      </c>
      <c r="C421" s="5">
        <v>15089091</v>
      </c>
      <c r="D421" s="11">
        <v>0.32</v>
      </c>
    </row>
    <row r="422" spans="1:4" x14ac:dyDescent="0.35">
      <c r="A422" s="4">
        <v>42278</v>
      </c>
      <c r="B422" s="5">
        <v>250</v>
      </c>
      <c r="C422" s="5">
        <v>53110019</v>
      </c>
      <c r="D422" s="11">
        <v>21.33</v>
      </c>
    </row>
    <row r="423" spans="1:4" x14ac:dyDescent="0.35">
      <c r="A423" s="4">
        <v>42614</v>
      </c>
      <c r="B423" s="5">
        <v>620</v>
      </c>
      <c r="C423" s="5">
        <v>39206210</v>
      </c>
      <c r="D423" s="11">
        <v>13.56</v>
      </c>
    </row>
    <row r="424" spans="1:4" x14ac:dyDescent="0.35">
      <c r="A424" s="4">
        <v>44470</v>
      </c>
      <c r="B424" s="5">
        <v>276</v>
      </c>
      <c r="C424" s="5">
        <v>48209090</v>
      </c>
      <c r="D424" s="11">
        <v>0.96</v>
      </c>
    </row>
    <row r="425" spans="1:4" x14ac:dyDescent="0.35">
      <c r="A425" s="4">
        <v>44197</v>
      </c>
      <c r="B425" s="5">
        <v>616</v>
      </c>
      <c r="C425" s="5">
        <v>84137099</v>
      </c>
      <c r="D425" s="11">
        <v>21.39</v>
      </c>
    </row>
    <row r="426" spans="1:4" x14ac:dyDescent="0.35">
      <c r="A426" s="4">
        <v>43739</v>
      </c>
      <c r="B426" s="5">
        <v>300</v>
      </c>
      <c r="C426" s="5">
        <v>72223012</v>
      </c>
      <c r="D426" s="11">
        <v>12.64</v>
      </c>
    </row>
    <row r="427" spans="1:4" x14ac:dyDescent="0.35">
      <c r="A427" s="4">
        <v>43252</v>
      </c>
      <c r="B427" s="5">
        <v>752</v>
      </c>
      <c r="C427" s="5">
        <v>84314100</v>
      </c>
      <c r="D427" s="11">
        <v>110.48</v>
      </c>
    </row>
    <row r="428" spans="1:4" x14ac:dyDescent="0.35">
      <c r="A428" s="4">
        <v>42736</v>
      </c>
      <c r="B428" s="5">
        <v>826</v>
      </c>
      <c r="C428" s="5">
        <v>90172020</v>
      </c>
      <c r="D428" s="11">
        <v>0.79</v>
      </c>
    </row>
    <row r="429" spans="1:4" x14ac:dyDescent="0.35">
      <c r="A429" s="4">
        <v>43678</v>
      </c>
      <c r="B429" s="5">
        <v>380</v>
      </c>
      <c r="C429" s="5">
        <v>75072000</v>
      </c>
      <c r="D429" s="11">
        <v>0.13</v>
      </c>
    </row>
    <row r="430" spans="1:4" x14ac:dyDescent="0.35">
      <c r="A430" s="4">
        <v>43191</v>
      </c>
      <c r="B430" s="5">
        <v>380</v>
      </c>
      <c r="C430" s="5">
        <v>30059070</v>
      </c>
      <c r="D430" s="11">
        <v>14.8</v>
      </c>
    </row>
    <row r="431" spans="1:4" x14ac:dyDescent="0.35">
      <c r="A431" s="4">
        <v>43252</v>
      </c>
      <c r="B431" s="5">
        <v>246</v>
      </c>
      <c r="C431" s="5">
        <v>85059000</v>
      </c>
      <c r="D431" s="11">
        <v>0.31</v>
      </c>
    </row>
    <row r="432" spans="1:4" x14ac:dyDescent="0.35">
      <c r="A432" s="4">
        <v>42461</v>
      </c>
      <c r="B432" s="5">
        <v>752</v>
      </c>
      <c r="C432" s="5">
        <v>28492010</v>
      </c>
      <c r="D432" s="11">
        <v>0.52</v>
      </c>
    </row>
    <row r="433" spans="1:4" x14ac:dyDescent="0.35">
      <c r="A433" s="4">
        <v>43770</v>
      </c>
      <c r="B433" s="5">
        <v>208</v>
      </c>
      <c r="C433" s="5">
        <v>72223012</v>
      </c>
      <c r="D433" s="11">
        <v>34.97</v>
      </c>
    </row>
    <row r="434" spans="1:4" x14ac:dyDescent="0.35">
      <c r="A434" s="4">
        <v>43435</v>
      </c>
      <c r="B434" s="5">
        <v>233</v>
      </c>
      <c r="C434" s="5">
        <v>70031990</v>
      </c>
      <c r="D434" s="11">
        <v>0.01</v>
      </c>
    </row>
    <row r="435" spans="1:4" x14ac:dyDescent="0.35">
      <c r="A435" s="4">
        <v>42036</v>
      </c>
      <c r="B435" s="5">
        <v>380</v>
      </c>
      <c r="C435" s="5">
        <v>52092990</v>
      </c>
      <c r="D435" s="11">
        <v>33.53</v>
      </c>
    </row>
    <row r="436" spans="1:4" x14ac:dyDescent="0.35">
      <c r="A436" s="4">
        <v>43009</v>
      </c>
      <c r="B436" s="5">
        <v>703</v>
      </c>
      <c r="C436" s="5">
        <v>61072100</v>
      </c>
      <c r="D436" s="11">
        <v>97.72</v>
      </c>
    </row>
    <row r="437" spans="1:4" x14ac:dyDescent="0.35">
      <c r="A437" s="4">
        <v>43160</v>
      </c>
      <c r="B437" s="5">
        <v>300</v>
      </c>
      <c r="C437" s="5">
        <v>42022220</v>
      </c>
      <c r="D437" s="11">
        <v>82.37</v>
      </c>
    </row>
    <row r="438" spans="1:4" x14ac:dyDescent="0.35">
      <c r="A438" s="4">
        <v>43497</v>
      </c>
      <c r="B438" s="5">
        <v>208</v>
      </c>
      <c r="C438" s="5">
        <v>63052000</v>
      </c>
      <c r="D438" s="11">
        <v>99.53</v>
      </c>
    </row>
    <row r="439" spans="1:4" x14ac:dyDescent="0.35">
      <c r="A439" s="4">
        <v>44228</v>
      </c>
      <c r="B439" s="5">
        <v>616</v>
      </c>
      <c r="C439" s="5">
        <v>85115000</v>
      </c>
      <c r="D439" s="11">
        <v>3.95</v>
      </c>
    </row>
    <row r="440" spans="1:4" x14ac:dyDescent="0.35">
      <c r="A440" s="4">
        <v>42309</v>
      </c>
      <c r="B440" s="5">
        <v>752</v>
      </c>
      <c r="C440" s="5">
        <v>70109000</v>
      </c>
      <c r="D440" s="11">
        <v>1.68</v>
      </c>
    </row>
    <row r="441" spans="1:4" x14ac:dyDescent="0.35">
      <c r="A441" s="4">
        <v>43525</v>
      </c>
      <c r="B441" s="5">
        <v>191</v>
      </c>
      <c r="C441" s="5">
        <v>85189000</v>
      </c>
      <c r="D441" s="11">
        <v>7.0000000000000007E-2</v>
      </c>
    </row>
    <row r="442" spans="1:4" x14ac:dyDescent="0.35">
      <c r="A442" s="4">
        <v>42856</v>
      </c>
      <c r="B442" s="5">
        <v>804</v>
      </c>
      <c r="C442" s="5">
        <v>81019600</v>
      </c>
      <c r="D442" s="11">
        <v>7.17</v>
      </c>
    </row>
    <row r="443" spans="1:4" x14ac:dyDescent="0.35">
      <c r="A443" s="4">
        <v>42217</v>
      </c>
      <c r="B443" s="5">
        <v>380</v>
      </c>
      <c r="C443" s="5">
        <v>81089090</v>
      </c>
      <c r="D443" s="11">
        <v>10.39</v>
      </c>
    </row>
    <row r="444" spans="1:4" x14ac:dyDescent="0.35">
      <c r="A444" s="4">
        <v>43983</v>
      </c>
      <c r="B444" s="5">
        <v>826</v>
      </c>
      <c r="C444" s="5">
        <v>85021310</v>
      </c>
      <c r="D444" s="11">
        <v>169.14</v>
      </c>
    </row>
    <row r="445" spans="1:4" x14ac:dyDescent="0.35">
      <c r="A445" s="4">
        <v>43101</v>
      </c>
      <c r="B445" s="5">
        <v>643</v>
      </c>
      <c r="C445" s="5">
        <v>21069099</v>
      </c>
      <c r="D445" s="11">
        <v>49.38</v>
      </c>
    </row>
    <row r="446" spans="1:4" x14ac:dyDescent="0.35">
      <c r="A446" s="4">
        <v>42339</v>
      </c>
      <c r="B446" s="5">
        <v>643</v>
      </c>
      <c r="C446" s="5">
        <v>29061390</v>
      </c>
      <c r="D446" s="11">
        <v>0.01</v>
      </c>
    </row>
    <row r="447" spans="1:4" x14ac:dyDescent="0.35">
      <c r="A447" s="4">
        <v>45717</v>
      </c>
      <c r="B447" s="5">
        <v>56</v>
      </c>
      <c r="C447" s="5">
        <v>29333918</v>
      </c>
      <c r="D447" s="11">
        <v>0.04</v>
      </c>
    </row>
    <row r="448" spans="1:4" x14ac:dyDescent="0.35">
      <c r="A448" s="4">
        <v>42156</v>
      </c>
      <c r="B448" s="5">
        <v>428</v>
      </c>
      <c r="C448" s="5">
        <v>38220090</v>
      </c>
      <c r="D448" s="11">
        <v>0.17</v>
      </c>
    </row>
    <row r="449" spans="1:4" x14ac:dyDescent="0.35">
      <c r="A449" s="4">
        <v>42095</v>
      </c>
      <c r="B449" s="5">
        <v>724</v>
      </c>
      <c r="C449" s="5">
        <v>29222924</v>
      </c>
      <c r="D449" s="11">
        <v>28.89</v>
      </c>
    </row>
    <row r="450" spans="1:4" x14ac:dyDescent="0.35">
      <c r="A450" s="4">
        <v>45717</v>
      </c>
      <c r="B450" s="5">
        <v>300</v>
      </c>
      <c r="C450" s="5">
        <v>87168010</v>
      </c>
      <c r="D450" s="11">
        <v>0</v>
      </c>
    </row>
    <row r="451" spans="1:4" x14ac:dyDescent="0.35">
      <c r="A451" s="4">
        <v>42979</v>
      </c>
      <c r="B451" s="5">
        <v>752</v>
      </c>
      <c r="C451" s="5">
        <v>61033300</v>
      </c>
      <c r="D451" s="11">
        <v>6.2</v>
      </c>
    </row>
    <row r="452" spans="1:4" x14ac:dyDescent="0.35">
      <c r="A452" s="4">
        <v>45597</v>
      </c>
      <c r="B452" s="5">
        <v>276</v>
      </c>
      <c r="C452" s="5">
        <v>81130030</v>
      </c>
      <c r="D452" s="11">
        <v>0.02</v>
      </c>
    </row>
    <row r="453" spans="1:4" x14ac:dyDescent="0.35">
      <c r="A453" s="4">
        <v>45597</v>
      </c>
      <c r="B453" s="5">
        <v>528</v>
      </c>
      <c r="C453" s="5">
        <v>57023120</v>
      </c>
      <c r="D453" s="11">
        <v>0.02</v>
      </c>
    </row>
    <row r="454" spans="1:4" x14ac:dyDescent="0.35">
      <c r="A454" s="4">
        <v>42856</v>
      </c>
      <c r="B454" s="5">
        <v>756</v>
      </c>
      <c r="C454" s="5">
        <v>9011112</v>
      </c>
      <c r="D454" s="11">
        <v>11.46</v>
      </c>
    </row>
    <row r="455" spans="1:4" x14ac:dyDescent="0.35">
      <c r="A455" s="4">
        <v>42309</v>
      </c>
      <c r="B455" s="5">
        <v>208</v>
      </c>
      <c r="C455" s="5">
        <v>95069980</v>
      </c>
      <c r="D455" s="11">
        <v>26.77</v>
      </c>
    </row>
    <row r="456" spans="1:4" x14ac:dyDescent="0.35">
      <c r="A456" s="4">
        <v>42795</v>
      </c>
      <c r="B456" s="5">
        <v>250</v>
      </c>
      <c r="C456" s="5">
        <v>30041060</v>
      </c>
      <c r="D456" s="11">
        <v>12.09</v>
      </c>
    </row>
    <row r="457" spans="1:4" x14ac:dyDescent="0.35">
      <c r="A457" s="4">
        <v>43739</v>
      </c>
      <c r="B457" s="5">
        <v>528</v>
      </c>
      <c r="C457" s="5">
        <v>39202090</v>
      </c>
      <c r="D457" s="11">
        <v>53.35</v>
      </c>
    </row>
    <row r="458" spans="1:4" x14ac:dyDescent="0.35">
      <c r="A458" s="4">
        <v>44317</v>
      </c>
      <c r="B458" s="5">
        <v>276</v>
      </c>
      <c r="C458" s="5">
        <v>84139110</v>
      </c>
      <c r="D458" s="11">
        <v>170</v>
      </c>
    </row>
    <row r="459" spans="1:4" x14ac:dyDescent="0.35">
      <c r="A459" s="4">
        <v>45536</v>
      </c>
      <c r="B459" s="5">
        <v>643</v>
      </c>
      <c r="C459" s="5">
        <v>84249000</v>
      </c>
      <c r="D459" s="11">
        <v>0.28000000000000003</v>
      </c>
    </row>
    <row r="460" spans="1:4" x14ac:dyDescent="0.35">
      <c r="A460" s="4">
        <v>45658</v>
      </c>
      <c r="B460" s="5">
        <v>643</v>
      </c>
      <c r="C460" s="5">
        <v>84254900</v>
      </c>
      <c r="D460" s="11">
        <v>1.1100000000000001</v>
      </c>
    </row>
    <row r="461" spans="1:4" x14ac:dyDescent="0.35">
      <c r="A461" s="4">
        <v>45566</v>
      </c>
      <c r="B461" s="5">
        <v>470</v>
      </c>
      <c r="C461" s="5">
        <v>30042033</v>
      </c>
      <c r="D461" s="11">
        <v>0</v>
      </c>
    </row>
    <row r="462" spans="1:4" x14ac:dyDescent="0.35">
      <c r="A462" s="4">
        <v>43952</v>
      </c>
      <c r="B462" s="5">
        <v>380</v>
      </c>
      <c r="C462" s="5">
        <v>42023120</v>
      </c>
      <c r="D462" s="11">
        <v>33.229999999999997</v>
      </c>
    </row>
    <row r="463" spans="1:4" x14ac:dyDescent="0.35">
      <c r="A463" s="4">
        <v>43009</v>
      </c>
      <c r="B463" s="5">
        <v>380</v>
      </c>
      <c r="C463" s="5">
        <v>58071020</v>
      </c>
      <c r="D463" s="11">
        <v>1.94</v>
      </c>
    </row>
    <row r="464" spans="1:4" x14ac:dyDescent="0.35">
      <c r="A464" s="4">
        <v>43191</v>
      </c>
      <c r="B464" s="5">
        <v>724</v>
      </c>
      <c r="C464" s="5">
        <v>84151090</v>
      </c>
      <c r="D464" s="11">
        <v>0.36</v>
      </c>
    </row>
    <row r="465" spans="1:4" x14ac:dyDescent="0.35">
      <c r="A465" s="4">
        <v>43252</v>
      </c>
      <c r="B465" s="5">
        <v>250</v>
      </c>
      <c r="C465" s="5">
        <v>84314990</v>
      </c>
      <c r="D465" s="11">
        <v>71.180000000000007</v>
      </c>
    </row>
    <row r="466" spans="1:4" x14ac:dyDescent="0.35">
      <c r="A466" s="4">
        <v>45717</v>
      </c>
      <c r="B466" s="5">
        <v>643</v>
      </c>
      <c r="C466" s="5">
        <v>84663010</v>
      </c>
      <c r="D466" s="11">
        <v>0.56000000000000005</v>
      </c>
    </row>
    <row r="467" spans="1:4" x14ac:dyDescent="0.35">
      <c r="A467" s="4">
        <v>43374</v>
      </c>
      <c r="B467" s="5">
        <v>528</v>
      </c>
      <c r="C467" s="5">
        <v>7141000</v>
      </c>
      <c r="D467" s="11">
        <v>5.71</v>
      </c>
    </row>
    <row r="468" spans="1:4" x14ac:dyDescent="0.35">
      <c r="A468" s="4">
        <v>45383</v>
      </c>
      <c r="B468" s="5">
        <v>380</v>
      </c>
      <c r="C468" s="5">
        <v>39206210</v>
      </c>
      <c r="D468" s="11">
        <v>1.92</v>
      </c>
    </row>
    <row r="469" spans="1:4" x14ac:dyDescent="0.35">
      <c r="A469" s="4">
        <v>44348</v>
      </c>
      <c r="B469" s="5">
        <v>752</v>
      </c>
      <c r="C469" s="5">
        <v>84149040</v>
      </c>
      <c r="D469" s="11">
        <v>0.01</v>
      </c>
    </row>
    <row r="470" spans="1:4" x14ac:dyDescent="0.35">
      <c r="A470" s="4">
        <v>42064</v>
      </c>
      <c r="B470" s="5">
        <v>276</v>
      </c>
      <c r="C470" s="5">
        <v>32041559</v>
      </c>
      <c r="D470" s="11">
        <v>30.57</v>
      </c>
    </row>
    <row r="471" spans="1:4" x14ac:dyDescent="0.35">
      <c r="A471" s="4">
        <v>43435</v>
      </c>
      <c r="B471" s="5">
        <v>620</v>
      </c>
      <c r="C471" s="5">
        <v>20011000</v>
      </c>
      <c r="D471" s="11">
        <v>12.98</v>
      </c>
    </row>
    <row r="472" spans="1:4" x14ac:dyDescent="0.35">
      <c r="A472" s="4">
        <v>42370</v>
      </c>
      <c r="B472" s="5">
        <v>826</v>
      </c>
      <c r="C472" s="5">
        <v>8071900</v>
      </c>
      <c r="D472" s="11">
        <v>0.35</v>
      </c>
    </row>
    <row r="473" spans="1:4" x14ac:dyDescent="0.35">
      <c r="A473" s="4">
        <v>42552</v>
      </c>
      <c r="B473" s="5">
        <v>826</v>
      </c>
      <c r="C473" s="5">
        <v>63041940</v>
      </c>
      <c r="D473" s="11">
        <v>68.86</v>
      </c>
    </row>
    <row r="474" spans="1:4" x14ac:dyDescent="0.35">
      <c r="A474" s="4">
        <v>42705</v>
      </c>
      <c r="B474" s="5">
        <v>528</v>
      </c>
      <c r="C474" s="5">
        <v>29171950</v>
      </c>
      <c r="D474" s="11">
        <v>26.6</v>
      </c>
    </row>
    <row r="475" spans="1:4" x14ac:dyDescent="0.35">
      <c r="A475" s="4">
        <v>42675</v>
      </c>
      <c r="B475" s="5">
        <v>528</v>
      </c>
      <c r="C475" s="5">
        <v>32041650</v>
      </c>
      <c r="D475" s="11">
        <v>210.97</v>
      </c>
    </row>
    <row r="476" spans="1:4" x14ac:dyDescent="0.35">
      <c r="A476" s="4">
        <v>43922</v>
      </c>
      <c r="B476" s="5">
        <v>250</v>
      </c>
      <c r="C476" s="5">
        <v>10063010</v>
      </c>
      <c r="D476" s="11">
        <v>1.23</v>
      </c>
    </row>
    <row r="477" spans="1:4" x14ac:dyDescent="0.35">
      <c r="A477" s="4">
        <v>43497</v>
      </c>
      <c r="B477" s="5">
        <v>688</v>
      </c>
      <c r="C477" s="5">
        <v>61051020</v>
      </c>
      <c r="D477" s="11">
        <v>3.94</v>
      </c>
    </row>
    <row r="478" spans="1:4" x14ac:dyDescent="0.35">
      <c r="A478" s="4">
        <v>43252</v>
      </c>
      <c r="B478" s="5">
        <v>348</v>
      </c>
      <c r="C478" s="5">
        <v>62114290</v>
      </c>
      <c r="D478" s="11">
        <v>54.83</v>
      </c>
    </row>
    <row r="479" spans="1:4" x14ac:dyDescent="0.35">
      <c r="A479" s="4">
        <v>43221</v>
      </c>
      <c r="B479" s="5">
        <v>724</v>
      </c>
      <c r="C479" s="5">
        <v>99930090</v>
      </c>
      <c r="D479" s="11">
        <v>0.03</v>
      </c>
    </row>
    <row r="480" spans="1:4" x14ac:dyDescent="0.35">
      <c r="A480" s="4">
        <v>42278</v>
      </c>
      <c r="B480" s="5">
        <v>724</v>
      </c>
      <c r="C480" s="5">
        <v>72101290</v>
      </c>
      <c r="D480" s="11">
        <v>57.44</v>
      </c>
    </row>
    <row r="481" spans="1:4" x14ac:dyDescent="0.35">
      <c r="A481" s="4">
        <v>44501</v>
      </c>
      <c r="B481" s="5">
        <v>826</v>
      </c>
      <c r="C481" s="5">
        <v>90141000</v>
      </c>
      <c r="D481" s="11">
        <v>4.05</v>
      </c>
    </row>
    <row r="482" spans="1:4" x14ac:dyDescent="0.35">
      <c r="A482" s="4">
        <v>43525</v>
      </c>
      <c r="B482" s="5">
        <v>380</v>
      </c>
      <c r="C482" s="5">
        <v>85372000</v>
      </c>
      <c r="D482" s="11">
        <v>26.51</v>
      </c>
    </row>
    <row r="483" spans="1:4" x14ac:dyDescent="0.35">
      <c r="A483" s="4">
        <v>45658</v>
      </c>
      <c r="B483" s="5">
        <v>276</v>
      </c>
      <c r="C483" s="5">
        <v>90248091</v>
      </c>
      <c r="D483" s="11">
        <v>0.01</v>
      </c>
    </row>
    <row r="484" spans="1:4" x14ac:dyDescent="0.35">
      <c r="A484" s="4">
        <v>43831</v>
      </c>
      <c r="B484" s="5">
        <v>208</v>
      </c>
      <c r="C484" s="5">
        <v>95051000</v>
      </c>
      <c r="D484" s="11">
        <v>11.55</v>
      </c>
    </row>
    <row r="485" spans="1:4" x14ac:dyDescent="0.35">
      <c r="A485" s="4">
        <v>43617</v>
      </c>
      <c r="B485" s="5">
        <v>380</v>
      </c>
      <c r="C485" s="5">
        <v>85332119</v>
      </c>
      <c r="D485" s="11">
        <v>2.6</v>
      </c>
    </row>
    <row r="486" spans="1:4" x14ac:dyDescent="0.35">
      <c r="A486" s="4">
        <v>42552</v>
      </c>
      <c r="B486" s="5">
        <v>642</v>
      </c>
      <c r="C486" s="5">
        <v>84099112</v>
      </c>
      <c r="D486" s="11">
        <v>126.89</v>
      </c>
    </row>
    <row r="487" spans="1:4" x14ac:dyDescent="0.35">
      <c r="A487" s="4">
        <v>44287</v>
      </c>
      <c r="B487" s="5">
        <v>826</v>
      </c>
      <c r="C487" s="5">
        <v>84254200</v>
      </c>
      <c r="D487" s="11">
        <v>31.31</v>
      </c>
    </row>
    <row r="488" spans="1:4" x14ac:dyDescent="0.35">
      <c r="A488" s="4">
        <v>45809</v>
      </c>
      <c r="B488" s="5">
        <v>826</v>
      </c>
      <c r="C488" s="5">
        <v>30043912</v>
      </c>
      <c r="D488" s="11">
        <v>1.06</v>
      </c>
    </row>
    <row r="489" spans="1:4" x14ac:dyDescent="0.35">
      <c r="A489" s="4">
        <v>45748</v>
      </c>
      <c r="B489" s="5">
        <v>372</v>
      </c>
      <c r="C489" s="5">
        <v>62082200</v>
      </c>
      <c r="D489" s="11">
        <v>0.12</v>
      </c>
    </row>
    <row r="490" spans="1:4" x14ac:dyDescent="0.35">
      <c r="A490" s="4">
        <v>44166</v>
      </c>
      <c r="B490" s="5">
        <v>208</v>
      </c>
      <c r="C490" s="5">
        <v>57023110</v>
      </c>
      <c r="D490" s="11">
        <v>234.15</v>
      </c>
    </row>
    <row r="491" spans="1:4" x14ac:dyDescent="0.35">
      <c r="A491" s="4">
        <v>42917</v>
      </c>
      <c r="B491" s="5">
        <v>380</v>
      </c>
      <c r="C491" s="5">
        <v>90318000</v>
      </c>
      <c r="D491" s="11">
        <v>19.7</v>
      </c>
    </row>
    <row r="492" spans="1:4" x14ac:dyDescent="0.35">
      <c r="A492" s="4">
        <v>45566</v>
      </c>
      <c r="B492" s="5">
        <v>642</v>
      </c>
      <c r="C492" s="5">
        <v>73181900</v>
      </c>
      <c r="D492" s="11">
        <v>0.31</v>
      </c>
    </row>
    <row r="493" spans="1:4" x14ac:dyDescent="0.35">
      <c r="A493" s="4">
        <v>43709</v>
      </c>
      <c r="B493" s="5">
        <v>528</v>
      </c>
      <c r="C493" s="5">
        <v>85363000</v>
      </c>
      <c r="D493" s="11">
        <v>7.0000000000000007E-2</v>
      </c>
    </row>
    <row r="494" spans="1:4" x14ac:dyDescent="0.35">
      <c r="A494" s="4">
        <v>44317</v>
      </c>
      <c r="B494" s="5">
        <v>578</v>
      </c>
      <c r="C494" s="5">
        <v>8045040</v>
      </c>
      <c r="D494" s="11">
        <v>0.99</v>
      </c>
    </row>
    <row r="495" spans="1:4" x14ac:dyDescent="0.35">
      <c r="A495" s="4">
        <v>43952</v>
      </c>
      <c r="B495" s="5">
        <v>756</v>
      </c>
      <c r="C495" s="5">
        <v>20011000</v>
      </c>
      <c r="D495" s="11">
        <v>51.88</v>
      </c>
    </row>
    <row r="496" spans="1:4" x14ac:dyDescent="0.35">
      <c r="A496" s="4">
        <v>42552</v>
      </c>
      <c r="B496" s="5">
        <v>643</v>
      </c>
      <c r="C496" s="5">
        <v>44109090</v>
      </c>
      <c r="D496" s="11">
        <v>0.1</v>
      </c>
    </row>
    <row r="497" spans="1:4" x14ac:dyDescent="0.35">
      <c r="A497" s="4">
        <v>44197</v>
      </c>
      <c r="B497" s="5">
        <v>578</v>
      </c>
      <c r="C497" s="5">
        <v>56039300</v>
      </c>
      <c r="D497" s="11">
        <v>3.59</v>
      </c>
    </row>
    <row r="498" spans="1:4" x14ac:dyDescent="0.35">
      <c r="A498" s="4">
        <v>43009</v>
      </c>
      <c r="B498" s="5">
        <v>826</v>
      </c>
      <c r="C498" s="5">
        <v>62113300</v>
      </c>
      <c r="D498" s="11">
        <v>140.37</v>
      </c>
    </row>
    <row r="499" spans="1:4" x14ac:dyDescent="0.35">
      <c r="A499" s="4">
        <v>45505</v>
      </c>
      <c r="B499" s="5">
        <v>528</v>
      </c>
      <c r="C499" s="5">
        <v>85115000</v>
      </c>
      <c r="D499" s="11">
        <v>0.05</v>
      </c>
    </row>
    <row r="500" spans="1:4" x14ac:dyDescent="0.35">
      <c r="A500" s="4">
        <v>43586</v>
      </c>
      <c r="B500" s="5">
        <v>528</v>
      </c>
      <c r="C500" s="5">
        <v>71171990</v>
      </c>
      <c r="D500" s="11">
        <v>33.53</v>
      </c>
    </row>
    <row r="501" spans="1:4" x14ac:dyDescent="0.35">
      <c r="A501" s="4">
        <v>43497</v>
      </c>
      <c r="B501" s="5">
        <v>276</v>
      </c>
      <c r="C501" s="5">
        <v>39199020</v>
      </c>
      <c r="D501" s="11">
        <v>22.1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27AC84-1420-4EF5-A4D7-0E7D3490BC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Forecast Pivot Table</vt:lpstr>
      <vt:lpstr>Forecast Table</vt:lpstr>
      <vt:lpstr>Fact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Monica</dc:creator>
  <cp:lastModifiedBy>Mary Monica</cp:lastModifiedBy>
  <dcterms:created xsi:type="dcterms:W3CDTF">2025-12-13T18:27:37Z</dcterms:created>
  <dcterms:modified xsi:type="dcterms:W3CDTF">2025-12-18T06:33:56Z</dcterms:modified>
</cp:coreProperties>
</file>